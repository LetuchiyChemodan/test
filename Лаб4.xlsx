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47E62689-2F5A-4DDC-BB8B-7C7E2D0066B5}" xr6:coauthVersionLast="47" xr6:coauthVersionMax="47" xr10:uidLastSave="{00000000-0000-0000-0000-000000000000}"/>
  <bookViews>
    <workbookView xWindow="-120" yWindow="-120" windowWidth="38640" windowHeight="2115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H19" i="2" s="1"/>
  <c r="F20" i="2"/>
  <c r="H20" i="2" s="1"/>
  <c r="F21" i="2"/>
  <c r="F22" i="2"/>
  <c r="F23" i="2"/>
  <c r="F24" i="2"/>
  <c r="F25" i="2"/>
  <c r="F26" i="2"/>
  <c r="F27" i="2"/>
  <c r="F28" i="2"/>
  <c r="F29" i="2"/>
  <c r="F30" i="2"/>
  <c r="H30" i="2" s="1"/>
  <c r="F31" i="2"/>
  <c r="F32" i="2"/>
  <c r="F33" i="2"/>
  <c r="F34" i="2"/>
  <c r="F35" i="2"/>
  <c r="F36" i="2"/>
  <c r="F37" i="2"/>
  <c r="F38" i="2"/>
  <c r="F39" i="2"/>
  <c r="F40" i="2"/>
  <c r="F41" i="2"/>
  <c r="F42" i="2"/>
  <c r="H42" i="2" s="1"/>
  <c r="F43" i="2"/>
  <c r="H43" i="2" s="1"/>
  <c r="F44" i="2"/>
  <c r="H44" i="2" s="1"/>
  <c r="F45" i="2"/>
  <c r="F46" i="2"/>
  <c r="F47" i="2"/>
  <c r="F48" i="2"/>
  <c r="F49" i="2"/>
  <c r="F50" i="2"/>
  <c r="F51" i="2"/>
  <c r="F52" i="2"/>
  <c r="F53" i="2"/>
  <c r="F54" i="2"/>
  <c r="H54" i="2" s="1"/>
  <c r="F55" i="2"/>
  <c r="F56" i="2"/>
  <c r="F57" i="2"/>
  <c r="F58" i="2"/>
  <c r="F59" i="2"/>
  <c r="F60" i="2"/>
  <c r="F61" i="2"/>
  <c r="F62" i="2"/>
  <c r="F63" i="2"/>
  <c r="F64" i="2"/>
  <c r="F65" i="2"/>
  <c r="F66" i="2"/>
  <c r="H66" i="2" s="1"/>
  <c r="F67" i="2"/>
  <c r="H67" i="2" s="1"/>
  <c r="F68" i="2"/>
  <c r="H68" i="2" s="1"/>
  <c r="F69" i="2"/>
  <c r="F70" i="2"/>
  <c r="F71" i="2"/>
  <c r="F72" i="2"/>
  <c r="F73" i="2"/>
  <c r="F74" i="2"/>
  <c r="F75" i="2"/>
  <c r="F76" i="2"/>
  <c r="F77" i="2"/>
  <c r="F78" i="2"/>
  <c r="H78" i="2" s="1"/>
  <c r="F79" i="2"/>
  <c r="F80" i="2"/>
  <c r="F81" i="2"/>
  <c r="F82" i="2"/>
  <c r="F83" i="2"/>
  <c r="F84" i="2"/>
  <c r="F85" i="2"/>
  <c r="F86" i="2"/>
  <c r="F87" i="2"/>
  <c r="F2" i="2"/>
  <c r="K3" i="2"/>
  <c r="J3" i="2"/>
  <c r="K2" i="2"/>
  <c r="K5" i="2" s="1"/>
  <c r="J2" i="2"/>
  <c r="J5" i="2" s="1"/>
  <c r="H83" i="2" l="1"/>
  <c r="H59" i="2"/>
  <c r="H18" i="2"/>
  <c r="H6" i="2"/>
  <c r="H77" i="2"/>
  <c r="H53" i="2"/>
  <c r="H41" i="2"/>
  <c r="H17" i="2"/>
  <c r="H5" i="2"/>
  <c r="H65" i="2"/>
  <c r="H29" i="2"/>
  <c r="H86" i="2"/>
  <c r="H62" i="2"/>
  <c r="H38" i="2"/>
  <c r="H14" i="2"/>
  <c r="H85" i="2"/>
  <c r="H61" i="2"/>
  <c r="H37" i="2"/>
  <c r="H13" i="2"/>
  <c r="H2" i="2"/>
  <c r="H64" i="2"/>
  <c r="H40" i="2"/>
  <c r="H16" i="2"/>
  <c r="H87" i="2"/>
  <c r="H63" i="2"/>
  <c r="H39" i="2"/>
  <c r="H15" i="2"/>
  <c r="H82" i="2"/>
  <c r="H58" i="2"/>
  <c r="H22" i="2"/>
  <c r="H10" i="2"/>
  <c r="H72" i="2"/>
  <c r="H48" i="2"/>
  <c r="H24" i="2"/>
  <c r="H70" i="2"/>
  <c r="H46" i="2"/>
  <c r="H34" i="2"/>
  <c r="H81" i="2"/>
  <c r="H69" i="2"/>
  <c r="H57" i="2"/>
  <c r="H45" i="2"/>
  <c r="H33" i="2"/>
  <c r="H21" i="2"/>
  <c r="H9" i="2"/>
  <c r="H23" i="2"/>
  <c r="H74" i="2"/>
  <c r="H50" i="2"/>
  <c r="H26" i="2"/>
  <c r="H73" i="2"/>
  <c r="H49" i="2"/>
  <c r="H25" i="2"/>
  <c r="H84" i="2"/>
  <c r="H60" i="2"/>
  <c r="H36" i="2"/>
  <c r="H12" i="2"/>
  <c r="H35" i="2"/>
  <c r="H11" i="2"/>
  <c r="H47" i="2"/>
  <c r="H79" i="2"/>
  <c r="H55" i="2"/>
  <c r="H7" i="2"/>
  <c r="H76" i="2"/>
  <c r="H52" i="2"/>
  <c r="H28" i="2"/>
  <c r="H4" i="2"/>
  <c r="H71" i="2"/>
  <c r="H80" i="2"/>
  <c r="H56" i="2"/>
  <c r="H32" i="2"/>
  <c r="H8" i="2"/>
  <c r="H31" i="2"/>
  <c r="H75" i="2"/>
  <c r="H51" i="2"/>
  <c r="H27" i="2"/>
  <c r="H3" i="2"/>
  <c r="J6" i="2"/>
  <c r="J8" i="2" s="1"/>
  <c r="K12" i="2" s="1"/>
  <c r="I83" i="2" s="1"/>
  <c r="I22" i="2" l="1"/>
  <c r="I84" i="2"/>
  <c r="I80" i="2"/>
  <c r="I10" i="2"/>
  <c r="I9" i="2"/>
  <c r="I12" i="2"/>
  <c r="I21" i="2"/>
  <c r="I71" i="2"/>
  <c r="I36" i="2"/>
  <c r="I45" i="2"/>
  <c r="I58" i="2"/>
  <c r="I39" i="2"/>
  <c r="I28" i="2"/>
  <c r="I34" i="2"/>
  <c r="I43" i="2"/>
  <c r="I27" i="2"/>
  <c r="I5" i="2"/>
  <c r="I3" i="2"/>
  <c r="I17" i="2"/>
  <c r="I60" i="2"/>
  <c r="I2" i="2"/>
  <c r="I52" i="2"/>
  <c r="I49" i="2"/>
  <c r="I16" i="2"/>
  <c r="I47" i="2"/>
  <c r="I78" i="2"/>
  <c r="I25" i="2"/>
  <c r="I86" i="2"/>
  <c r="I31" i="2"/>
  <c r="I18" i="2"/>
  <c r="I70" i="2"/>
  <c r="I13" i="2"/>
  <c r="I59" i="2"/>
  <c r="I29" i="2"/>
  <c r="I8" i="2"/>
  <c r="I56" i="2"/>
  <c r="I88" i="2"/>
  <c r="I11" i="2"/>
  <c r="I51" i="2"/>
  <c r="I4" i="2"/>
  <c r="I23" i="2"/>
  <c r="I37" i="2"/>
  <c r="I76" i="2"/>
  <c r="I26" i="2"/>
  <c r="I48" i="2"/>
  <c r="I42" i="2"/>
  <c r="I72" i="2"/>
  <c r="I20" i="2"/>
  <c r="I64" i="2"/>
  <c r="I32" i="2"/>
  <c r="I14" i="2"/>
  <c r="I35" i="2"/>
  <c r="I41" i="2"/>
  <c r="I53" i="2"/>
  <c r="I30" i="2"/>
  <c r="I33" i="2"/>
  <c r="I61" i="2"/>
  <c r="I63" i="2"/>
  <c r="I69" i="2"/>
  <c r="I68" i="2"/>
  <c r="I79" i="2"/>
  <c r="I57" i="2"/>
  <c r="I44" i="2"/>
  <c r="I55" i="2"/>
  <c r="I66" i="2"/>
  <c r="I38" i="2"/>
  <c r="I46" i="2"/>
  <c r="I77" i="2"/>
  <c r="I54" i="2"/>
  <c r="I85" i="2"/>
  <c r="I62" i="2"/>
  <c r="I87" i="2"/>
  <c r="I81" i="2"/>
  <c r="I19" i="2"/>
  <c r="I50" i="2"/>
  <c r="I75" i="2"/>
  <c r="I7" i="2"/>
  <c r="I24" i="2"/>
  <c r="I65" i="2"/>
  <c r="I74" i="2"/>
  <c r="I67" i="2"/>
  <c r="I6" i="2"/>
  <c r="I15" i="2"/>
  <c r="I40" i="2"/>
  <c r="I73" i="2"/>
  <c r="I82" i="2"/>
</calcChain>
</file>

<file path=xl/sharedStrings.xml><?xml version="1.0" encoding="utf-8"?>
<sst xmlns="http://schemas.openxmlformats.org/spreadsheetml/2006/main" count="218" uniqueCount="94">
  <si>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</si>
  <si>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</si>
  <si>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</si>
  <si>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</si>
  <si>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</si>
  <si>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</si>
  <si>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– Кузбасс</t>
  </si>
  <si>
    <t>Новосибирская область</t>
  </si>
  <si>
    <t>Oмская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</si>
  <si>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</si>
  <si>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</si>
  <si>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</si>
  <si>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</si>
  <si>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</si>
  <si>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</si>
  <si>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</si>
  <si>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</si>
  <si>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</si>
  <si>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</si>
  <si>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</si>
  <si>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</si>
  <si>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Ожидаемая продолжительность жизни для мужчин достигших 60 лет</t>
  </si>
  <si>
    <t xml:space="preserve">Среднедушевой наход населения </t>
  </si>
  <si>
    <t>Курганская область</t>
  </si>
  <si>
    <t>Свердловская область</t>
  </si>
  <si>
    <t>Тюменская область</t>
  </si>
  <si>
    <t xml:space="preserve">   Ханты-Мансийский автономный округ – Югра</t>
  </si>
  <si>
    <t xml:space="preserve">   Ямало-Ненецкий автономный округ</t>
  </si>
  <si>
    <t xml:space="preserve">   Тюменская область без авт. округов</t>
  </si>
  <si>
    <t>Челябинская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</si>
  <si>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</si>
  <si>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</si>
  <si>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</si>
  <si>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</si>
  <si>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</si>
  <si>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</si>
  <si>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</si>
  <si>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</si>
  <si>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</si>
  <si>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</si>
  <si>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</si>
  <si>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</si>
  <si>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</si>
  <si>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</si>
  <si>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</si>
  <si>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</si>
  <si>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</si>
  <si>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</si>
  <si>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</si>
  <si>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</si>
  <si>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</si>
  <si>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</si>
  <si>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</si>
  <si>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</si>
  <si>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</si>
  <si>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</si>
  <si>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</si>
  <si>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</si>
  <si>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 xml:space="preserve">   Ненецкий автономный округ</t>
  </si>
  <si>
    <t xml:space="preserve">   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</si>
  <si>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</si>
  <si>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</si>
  <si>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</si>
  <si>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</si>
  <si>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</si>
  <si>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</si>
  <si>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</si>
  <si>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</si>
  <si>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</si>
  <si>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</si>
  <si>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</si>
  <si>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</si>
  <si>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</si>
  <si>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</si>
  <si>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</si>
  <si>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</si>
  <si>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</si>
  <si>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</si>
  <si>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</si>
  <si>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</si>
  <si>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</si>
  <si>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</si>
  <si>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</si>
  <si>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</si>
  <si>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</si>
  <si>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</si>
  <si>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</si>
  <si>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</si>
  <si>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</si>
  <si>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Площадь км.кв.</t>
  </si>
  <si>
    <t>Субъект РФ</t>
  </si>
  <si>
    <t>Население</t>
  </si>
  <si>
    <t>Среднедушевой доход населения, рублей</t>
  </si>
  <si>
    <t>Площадь, км.кв.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</si>
</sst>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</font>
    <font>
      <sz val="10"/>
      <color theme="1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</font>
    <font>
      <sz val="11"/>
      <name val="Calibri"/>
      <family val="2"/>
      <charset val="204"/>
      <scheme val="minor"/>
    </font>
    <font>
      <sz val="11"/>
      <color rgb="FF202122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5" fillId="0" borderId="0"/>
    <xf numFmtId="0" fontId="7" fillId="0" borderId="0"/>
    <xf numFmtId="0" fontId="8" fillId="0" borderId="0"/>
    <xf numFmtId="0" fontId="9" fillId="0" borderId="0"/>
    <xf numFmtId="0" fontId="11" fillId="0" borderId="0"/>
    <xf numFmtId="0" fontId="2" fillId="0" borderId="0"/>
  </cellStyleXfs>
  <cellXfs count="30">
    <xf numFmtId="0" fontId="0" fillId="0" borderId="0" xfId="0"/>
    <xf numFmtId="1" fontId="6" fillId="0" borderId="1" xfId="1" applyNumberFormat="1" applyFont="1" applyBorder="1" applyAlignment="1">
      <alignment horizontal="left" vertical="center" wrapText="1"/>
    </xf>
    <xf numFmtId="1" fontId="6" fillId="0" borderId="3" xfId="1" applyNumberFormat="1" applyFont="1" applyBorder="1" applyAlignment="1">
      <alignment horizontal="left" vertical="center" wrapText="1"/>
    </xf>
    <xf numFmtId="2" fontId="4" fillId="0" borderId="1" xfId="3" applyNumberFormat="1" applyFont="1" applyBorder="1" applyAlignment="1">
      <alignment horizontal="right" vertical="center" indent="2"/>
    </xf>
    <xf numFmtId="2" fontId="4" fillId="0" borderId="1" xfId="3" applyNumberFormat="1" applyFont="1" applyBorder="1" applyAlignment="1">
      <alignment horizontal="right" vertical="center" indent="2"/>
    </xf>
    <xf numFmtId="2" fontId="4" fillId="0" borderId="3" xfId="3" applyNumberFormat="1" applyFont="1" applyBorder="1" applyAlignment="1">
      <alignment horizontal="right" vertical="center" indent="2"/>
    </xf>
    <xf numFmtId="3" fontId="10" fillId="0" borderId="2" xfId="5" applyNumberFormat="1" applyFont="1" applyFill="1" applyBorder="1" applyAlignment="1">
      <alignment horizontal="right" vertical="center"/>
    </xf>
    <xf numFmtId="3" fontId="10" fillId="0" borderId="2" xfId="5" applyNumberFormat="1" applyFont="1" applyFill="1" applyBorder="1" applyAlignment="1">
      <alignment horizontal="right" vertical="center"/>
    </xf>
    <xf numFmtId="3" fontId="10" fillId="0" borderId="4" xfId="5" applyNumberFormat="1" applyFont="1" applyFill="1" applyBorder="1" applyAlignment="1">
      <alignment horizontal="right" vertical="center"/>
    </xf>
    <xf numFmtId="2" fontId="4" fillId="0" borderId="1" xfId="3" applyNumberFormat="1" applyFont="1" applyBorder="1" applyAlignment="1">
      <alignment horizontal="right" vertical="center" indent="2"/>
    </xf>
    <xf numFmtId="3" fontId="10" fillId="0" borderId="2" xfId="5" applyNumberFormat="1" applyFont="1" applyFill="1" applyBorder="1" applyAlignment="1">
      <alignment horizontal="right" vertical="center"/>
    </xf>
    <xf numFmtId="2" fontId="4" fillId="0" borderId="1" xfId="3" applyNumberFormat="1" applyFont="1" applyBorder="1" applyAlignment="1">
      <alignment horizontal="right" vertical="center" indent="2"/>
    </xf>
    <xf numFmtId="3" fontId="10" fillId="0" borderId="2" xfId="5" applyNumberFormat="1" applyFont="1" applyFill="1" applyBorder="1" applyAlignment="1">
      <alignment horizontal="right" vertical="center"/>
    </xf>
    <xf numFmtId="0" fontId="2" fillId="0" borderId="0" xfId="0" applyFont="1"/>
    <xf numFmtId="0" fontId="0" fillId="0" borderId="5" xfId="0" applyBorder="1"/>
    <xf numFmtId="3" fontId="12" fillId="0" borderId="5" xfId="5" applyNumberFormat="1" applyFont="1" applyBorder="1" applyAlignment="1">
      <alignment horizontal="right" vertical="center"/>
    </xf>
    <xf numFmtId="0" fontId="2" fillId="0" borderId="5" xfId="0" applyFont="1" applyBorder="1"/>
    <xf numFmtId="0" fontId="13" fillId="0" borderId="5" xfId="0" applyFont="1" applyBorder="1"/>
    <xf numFmtId="0" fontId="13" fillId="2" borderId="5" xfId="0" applyFont="1" applyFill="1" applyBorder="1" applyAlignment="1">
      <alignment horizontal="right" vertical="center" wrapText="1"/>
    </xf>
    <xf numFmtId="3" fontId="0" fillId="0" borderId="0" xfId="0" applyNumberFormat="1"/>
    <xf numFmtId="3" fontId="14" fillId="0" borderId="1" xfId="7" applyNumberFormat="1" applyFont="1" applyBorder="1" applyAlignment="1">
      <alignment horizontal="right"/>
    </xf>
    <xf numFmtId="0" fontId="1" fillId="0" borderId="0" xfId="0" applyFont="1"/>
    <xf numFmtId="0" fontId="15" fillId="3" borderId="5" xfId="0" applyFont="1" applyFill="1" applyBorder="1"/>
    <xf numFmtId="0" fontId="13" fillId="4" borderId="5" xfId="0" applyFont="1" applyFill="1" applyBorder="1"/>
    <xf numFmtId="0" fontId="13" fillId="4" borderId="5" xfId="0" applyFont="1" applyFill="1" applyBorder="1" applyAlignment="1">
      <alignment horizontal="right" vertical="center" wrapText="1"/>
    </xf>
    <xf numFmtId="0" fontId="2" fillId="4" borderId="5" xfId="0" applyFont="1" applyFill="1" applyBorder="1"/>
    <xf numFmtId="0" fontId="13" fillId="5" borderId="5" xfId="0" applyFont="1" applyFill="1" applyBorder="1"/>
    <xf numFmtId="0" fontId="13" fillId="5" borderId="5" xfId="0" applyFont="1" applyFill="1" applyBorder="1" applyAlignment="1">
      <alignment horizontal="right" vertical="center" wrapText="1"/>
    </xf>
    <xf numFmtId="0" fontId="13" fillId="6" borderId="5" xfId="0" applyFont="1" applyFill="1" applyBorder="1"/>
    <xf numFmtId="0" fontId="13" fillId="6" borderId="5" xfId="0" applyFont="1" applyFill="1" applyBorder="1" applyAlignment="1">
      <alignment horizontal="right" vertical="center" wrapText="1"/>
    </xf>
  </cellXfs>
  <cellStyles count="8">
    <cellStyle name="Обычный" xfId="0" builtinId="0"/>
    <cellStyle name="Обычный 2" xfId="2" xr:uid="{00000000-0005-0000-0000-000001000000}"/>
    <cellStyle name="Обычный 2 2" xfId="7" xr:uid="{BBAA95EC-38AE-4372-B00D-C033B0266188}"/>
    <cellStyle name="Обычный 3" xfId="3" xr:uid="{00000000-0005-0000-0000-000002000000}"/>
    <cellStyle name="Обычный 4" xfId="1" xr:uid="{00000000-0005-0000-0000-000003000000}"/>
    <cellStyle name="Обычный 5" xfId="5" xr:uid="{00000000-0005-0000-0000-000004000000}"/>
    <cellStyle name="Обычный 6" xfId="6" xr:uid="{00000000-0005-0000-0000-000005000000}"/>
    <cellStyle name="Обычный 7" xfId="4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1409500064578"/>
          <c:y val="5.1400554097404488E-2"/>
          <c:w val="0.78837994837993008"/>
          <c:h val="0.80067127972639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Среднедушевой наход населения 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</c:marker>
          <c:xVal>
            <c:numRef>
              <c:f>Лист1!$B$2:$B$36</c:f>
              <c:numCache>
                <c:formatCode>0.00</c:formatCode>
                <c:ptCount val="35"/>
                <c:pt idx="0">
                  <c:v>15.53</c:v>
                </c:pt>
                <c:pt idx="1">
                  <c:v>14.27</c:v>
                </c:pt>
                <c:pt idx="2">
                  <c:v>16.23</c:v>
                </c:pt>
                <c:pt idx="3">
                  <c:v>15.48</c:v>
                </c:pt>
                <c:pt idx="4">
                  <c:v>16.440000000000001</c:v>
                </c:pt>
                <c:pt idx="5">
                  <c:v>15.45</c:v>
                </c:pt>
                <c:pt idx="6">
                  <c:v>16.37</c:v>
                </c:pt>
                <c:pt idx="7">
                  <c:v>16.75</c:v>
                </c:pt>
                <c:pt idx="8">
                  <c:v>16.37</c:v>
                </c:pt>
                <c:pt idx="9">
                  <c:v>17.5</c:v>
                </c:pt>
                <c:pt idx="10">
                  <c:v>15.65</c:v>
                </c:pt>
                <c:pt idx="11">
                  <c:v>17.52</c:v>
                </c:pt>
                <c:pt idx="12">
                  <c:v>14.12</c:v>
                </c:pt>
                <c:pt idx="13">
                  <c:v>16.47</c:v>
                </c:pt>
                <c:pt idx="14">
                  <c:v>15.94</c:v>
                </c:pt>
                <c:pt idx="15">
                  <c:v>16.170000000000002</c:v>
                </c:pt>
                <c:pt idx="16">
                  <c:v>14.9</c:v>
                </c:pt>
                <c:pt idx="17">
                  <c:v>15.77</c:v>
                </c:pt>
                <c:pt idx="18">
                  <c:v>16.84</c:v>
                </c:pt>
                <c:pt idx="19">
                  <c:v>15.2</c:v>
                </c:pt>
                <c:pt idx="20">
                  <c:v>15.72</c:v>
                </c:pt>
                <c:pt idx="21">
                  <c:v>15.39</c:v>
                </c:pt>
                <c:pt idx="22">
                  <c:v>16.510000000000002</c:v>
                </c:pt>
                <c:pt idx="23">
                  <c:v>18.64</c:v>
                </c:pt>
                <c:pt idx="24">
                  <c:v>19.27</c:v>
                </c:pt>
                <c:pt idx="25">
                  <c:v>19.29</c:v>
                </c:pt>
                <c:pt idx="26">
                  <c:v>18.059999999999999</c:v>
                </c:pt>
                <c:pt idx="27">
                  <c:v>16.87</c:v>
                </c:pt>
                <c:pt idx="28">
                  <c:v>22.74</c:v>
                </c:pt>
                <c:pt idx="29">
                  <c:v>22.49</c:v>
                </c:pt>
                <c:pt idx="30">
                  <c:v>19.72</c:v>
                </c:pt>
                <c:pt idx="31">
                  <c:v>20.04</c:v>
                </c:pt>
                <c:pt idx="32">
                  <c:v>19.559999999999999</c:v>
                </c:pt>
                <c:pt idx="33">
                  <c:v>18.54</c:v>
                </c:pt>
                <c:pt idx="34">
                  <c:v>18.62</c:v>
                </c:pt>
              </c:numCache>
            </c:numRef>
          </c:xVal>
          <c:yVal>
            <c:numRef>
              <c:f>Лист1!$C$2:$C$36</c:f>
              <c:numCache>
                <c:formatCode>#,##0</c:formatCode>
                <c:ptCount val="35"/>
                <c:pt idx="0">
                  <c:v>34817</c:v>
                </c:pt>
                <c:pt idx="1">
                  <c:v>28934</c:v>
                </c:pt>
                <c:pt idx="2">
                  <c:v>34999</c:v>
                </c:pt>
                <c:pt idx="3">
                  <c:v>36431</c:v>
                </c:pt>
                <c:pt idx="4">
                  <c:v>50380</c:v>
                </c:pt>
                <c:pt idx="5">
                  <c:v>42483</c:v>
                </c:pt>
                <c:pt idx="6">
                  <c:v>39408</c:v>
                </c:pt>
                <c:pt idx="7">
                  <c:v>49936</c:v>
                </c:pt>
                <c:pt idx="8">
                  <c:v>40804</c:v>
                </c:pt>
                <c:pt idx="9">
                  <c:v>41600</c:v>
                </c:pt>
                <c:pt idx="10">
                  <c:v>38412</c:v>
                </c:pt>
                <c:pt idx="11">
                  <c:v>69031</c:v>
                </c:pt>
                <c:pt idx="12">
                  <c:v>42758</c:v>
                </c:pt>
                <c:pt idx="13">
                  <c:v>87054</c:v>
                </c:pt>
                <c:pt idx="14">
                  <c:v>54494</c:v>
                </c:pt>
                <c:pt idx="15">
                  <c:v>58092</c:v>
                </c:pt>
                <c:pt idx="16">
                  <c:v>54055</c:v>
                </c:pt>
                <c:pt idx="17">
                  <c:v>111157</c:v>
                </c:pt>
                <c:pt idx="18">
                  <c:v>87902</c:v>
                </c:pt>
                <c:pt idx="19">
                  <c:v>43479</c:v>
                </c:pt>
                <c:pt idx="20">
                  <c:v>156988</c:v>
                </c:pt>
                <c:pt idx="21">
                  <c:v>34812</c:v>
                </c:pt>
                <c:pt idx="22">
                  <c:v>53413</c:v>
                </c:pt>
                <c:pt idx="23">
                  <c:v>69341</c:v>
                </c:pt>
                <c:pt idx="24">
                  <c:v>72634</c:v>
                </c:pt>
                <c:pt idx="25">
                  <c:v>139651</c:v>
                </c:pt>
                <c:pt idx="26">
                  <c:v>43350</c:v>
                </c:pt>
                <c:pt idx="27">
                  <c:v>39703</c:v>
                </c:pt>
                <c:pt idx="28">
                  <c:v>39686</c:v>
                </c:pt>
                <c:pt idx="29">
                  <c:v>24414</c:v>
                </c:pt>
                <c:pt idx="30">
                  <c:v>38948</c:v>
                </c:pt>
                <c:pt idx="31">
                  <c:v>25619</c:v>
                </c:pt>
                <c:pt idx="32">
                  <c:v>35276</c:v>
                </c:pt>
                <c:pt idx="33">
                  <c:v>35920</c:v>
                </c:pt>
                <c:pt idx="34">
                  <c:v>32930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7E-4677-A9D9-E891F7D28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448000"/>
        <c:axId val="216446080"/>
      </c:scatterChart>
      <c:valAx>
        <c:axId val="21644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0" i="0" u="none" strike="noStrike" baseline="0">
                    <a:effectLst/>
                  </a:rPr>
                  <a:t>Ожидаемая продолжительность жизни для мужчин достигших 60 лет</a:t>
                </a:r>
                <a:r>
                  <a:rPr lang="ru-RU" sz="1000" b="1" i="0" u="none" strike="noStrike" baseline="0"/>
                  <a:t> </a:t>
                </a:r>
                <a:endParaRPr lang="ru-RU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16446080"/>
        <c:crosses val="autoZero"/>
        <c:crossBetween val="midCat"/>
      </c:valAx>
      <c:valAx>
        <c:axId val="216446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 sz="1000" b="0" i="0" u="none" strike="noStrike" baseline="0">
                    <a:effectLst/>
                  </a:rPr>
                  <a:t>Среднедушевой наход населения </a:t>
                </a:r>
                <a:r>
                  <a:rPr lang="ru-RU" sz="1000" b="1" i="0" u="none" strike="noStrike" baseline="0"/>
                  <a:t> </a:t>
                </a:r>
                <a:endParaRPr lang="ru-RU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216448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5344310646712E-2"/>
          <c:y val="0.12832348874866184"/>
          <c:w val="0.54562505478245238"/>
          <c:h val="0.8106308065566010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</c:marker>
          <c:xVal>
            <c:numRef>
              <c:f>Лист2!$B$2:$B$88</c:f>
              <c:numCache>
                <c:formatCode>#,##0</c:formatCode>
                <c:ptCount val="87"/>
                <c:pt idx="0">
                  <c:v>31603</c:v>
                </c:pt>
                <c:pt idx="1">
                  <c:v>55679</c:v>
                </c:pt>
                <c:pt idx="2">
                  <c:v>86453</c:v>
                </c:pt>
                <c:pt idx="3">
                  <c:v>18573</c:v>
                </c:pt>
                <c:pt idx="4">
                  <c:v>32882</c:v>
                </c:pt>
                <c:pt idx="5">
                  <c:v>25980</c:v>
                </c:pt>
                <c:pt idx="6">
                  <c:v>24991</c:v>
                </c:pt>
                <c:pt idx="7">
                  <c:v>20256</c:v>
                </c:pt>
                <c:pt idx="8">
                  <c:v>31934</c:v>
                </c:pt>
                <c:pt idx="9">
                  <c:v>26425</c:v>
                </c:pt>
                <c:pt idx="10">
                  <c:v>23926</c:v>
                </c:pt>
                <c:pt idx="11">
                  <c:v>30235</c:v>
                </c:pt>
                <c:pt idx="12">
                  <c:v>23024</c:v>
                </c:pt>
                <c:pt idx="13">
                  <c:v>34509</c:v>
                </c:pt>
                <c:pt idx="14">
                  <c:v>30008</c:v>
                </c:pt>
                <c:pt idx="15">
                  <c:v>30935</c:v>
                </c:pt>
                <c:pt idx="16">
                  <c:v>25937</c:v>
                </c:pt>
                <c:pt idx="17">
                  <c:v>22607</c:v>
                </c:pt>
                <c:pt idx="18">
                  <c:v>35511</c:v>
                </c:pt>
                <c:pt idx="19">
                  <c:v>28148</c:v>
                </c:pt>
                <c:pt idx="20">
                  <c:v>33174</c:v>
                </c:pt>
                <c:pt idx="21">
                  <c:v>32871</c:v>
                </c:pt>
                <c:pt idx="22">
                  <c:v>30290</c:v>
                </c:pt>
                <c:pt idx="23">
                  <c:v>31713</c:v>
                </c:pt>
                <c:pt idx="24">
                  <c:v>33697</c:v>
                </c:pt>
                <c:pt idx="25">
                  <c:v>31118</c:v>
                </c:pt>
                <c:pt idx="26">
                  <c:v>27112</c:v>
                </c:pt>
                <c:pt idx="27">
                  <c:v>30142</c:v>
                </c:pt>
                <c:pt idx="28">
                  <c:v>28346</c:v>
                </c:pt>
                <c:pt idx="29">
                  <c:v>26676</c:v>
                </c:pt>
                <c:pt idx="30">
                  <c:v>49213</c:v>
                </c:pt>
                <c:pt idx="31">
                  <c:v>27675</c:v>
                </c:pt>
                <c:pt idx="32">
                  <c:v>31484</c:v>
                </c:pt>
                <c:pt idx="33">
                  <c:v>29952</c:v>
                </c:pt>
                <c:pt idx="34">
                  <c:v>34982</c:v>
                </c:pt>
                <c:pt idx="35">
                  <c:v>32343</c:v>
                </c:pt>
                <c:pt idx="36">
                  <c:v>29517</c:v>
                </c:pt>
                <c:pt idx="37">
                  <c:v>30127</c:v>
                </c:pt>
                <c:pt idx="38">
                  <c:v>30567</c:v>
                </c:pt>
                <c:pt idx="39">
                  <c:v>25849</c:v>
                </c:pt>
                <c:pt idx="40">
                  <c:v>25133</c:v>
                </c:pt>
                <c:pt idx="41">
                  <c:v>38601</c:v>
                </c:pt>
                <c:pt idx="42">
                  <c:v>24710</c:v>
                </c:pt>
                <c:pt idx="43">
                  <c:v>21415</c:v>
                </c:pt>
                <c:pt idx="44">
                  <c:v>42228</c:v>
                </c:pt>
                <c:pt idx="45">
                  <c:v>37929</c:v>
                </c:pt>
                <c:pt idx="46">
                  <c:v>35199</c:v>
                </c:pt>
                <c:pt idx="47">
                  <c:v>30773</c:v>
                </c:pt>
                <c:pt idx="48">
                  <c:v>66211</c:v>
                </c:pt>
                <c:pt idx="49">
                  <c:v>29474</c:v>
                </c:pt>
                <c:pt idx="50">
                  <c:v>24958</c:v>
                </c:pt>
                <c:pt idx="51">
                  <c:v>28174</c:v>
                </c:pt>
                <c:pt idx="52">
                  <c:v>34743</c:v>
                </c:pt>
                <c:pt idx="53">
                  <c:v>25517</c:v>
                </c:pt>
                <c:pt idx="54">
                  <c:v>27226</c:v>
                </c:pt>
                <c:pt idx="55">
                  <c:v>28519</c:v>
                </c:pt>
                <c:pt idx="56">
                  <c:v>27454</c:v>
                </c:pt>
                <c:pt idx="57">
                  <c:v>30407</c:v>
                </c:pt>
                <c:pt idx="58">
                  <c:v>31935</c:v>
                </c:pt>
                <c:pt idx="59">
                  <c:v>31887</c:v>
                </c:pt>
                <c:pt idx="60">
                  <c:v>55506</c:v>
                </c:pt>
                <c:pt idx="61">
                  <c:v>32956</c:v>
                </c:pt>
                <c:pt idx="62">
                  <c:v>33139</c:v>
                </c:pt>
                <c:pt idx="63">
                  <c:v>41293</c:v>
                </c:pt>
                <c:pt idx="64">
                  <c:v>27305</c:v>
                </c:pt>
                <c:pt idx="65">
                  <c:v>20435</c:v>
                </c:pt>
                <c:pt idx="66">
                  <c:v>92620</c:v>
                </c:pt>
                <c:pt idx="67">
                  <c:v>35070</c:v>
                </c:pt>
                <c:pt idx="68">
                  <c:v>39929</c:v>
                </c:pt>
                <c:pt idx="69">
                  <c:v>40281</c:v>
                </c:pt>
                <c:pt idx="70">
                  <c:v>31210</c:v>
                </c:pt>
                <c:pt idx="71">
                  <c:v>28446</c:v>
                </c:pt>
                <c:pt idx="72">
                  <c:v>40067</c:v>
                </c:pt>
                <c:pt idx="73">
                  <c:v>41307</c:v>
                </c:pt>
                <c:pt idx="74">
                  <c:v>42603</c:v>
                </c:pt>
                <c:pt idx="75">
                  <c:v>31043</c:v>
                </c:pt>
                <c:pt idx="76">
                  <c:v>82031</c:v>
                </c:pt>
                <c:pt idx="77">
                  <c:v>64791</c:v>
                </c:pt>
                <c:pt idx="78">
                  <c:v>56644</c:v>
                </c:pt>
                <c:pt idx="79">
                  <c:v>43381</c:v>
                </c:pt>
                <c:pt idx="80">
                  <c:v>104178</c:v>
                </c:pt>
                <c:pt idx="81">
                  <c:v>104323</c:v>
                </c:pt>
                <c:pt idx="82">
                  <c:v>30270</c:v>
                </c:pt>
                <c:pt idx="83">
                  <c:v>44310</c:v>
                </c:pt>
                <c:pt idx="84">
                  <c:v>53105</c:v>
                </c:pt>
                <c:pt idx="85">
                  <c:v>36004</c:v>
                </c:pt>
                <c:pt idx="86">
                  <c:v>50090</c:v>
                </c:pt>
              </c:numCache>
            </c:numRef>
          </c:xVal>
          <c:yVal>
            <c:numRef>
              <c:f>Лист2!$C$2:$C$88</c:f>
              <c:numCache>
                <c:formatCode>General</c:formatCode>
                <c:ptCount val="87"/>
                <c:pt idx="0">
                  <c:v>864</c:v>
                </c:pt>
                <c:pt idx="1">
                  <c:v>1403</c:v>
                </c:pt>
                <c:pt idx="2">
                  <c:v>2561</c:v>
                </c:pt>
                <c:pt idx="3">
                  <c:v>3123</c:v>
                </c:pt>
                <c:pt idx="4">
                  <c:v>7792</c:v>
                </c:pt>
                <c:pt idx="5">
                  <c:v>7987</c:v>
                </c:pt>
                <c:pt idx="6">
                  <c:v>12470</c:v>
                </c:pt>
                <c:pt idx="7">
                  <c:v>14277</c:v>
                </c:pt>
                <c:pt idx="8">
                  <c:v>15125</c:v>
                </c:pt>
                <c:pt idx="9">
                  <c:v>16171</c:v>
                </c:pt>
                <c:pt idx="10">
                  <c:v>18343</c:v>
                </c:pt>
                <c:pt idx="11">
                  <c:v>21437</c:v>
                </c:pt>
                <c:pt idx="12">
                  <c:v>23375</c:v>
                </c:pt>
                <c:pt idx="13">
                  <c:v>24047</c:v>
                </c:pt>
                <c:pt idx="14">
                  <c:v>24652</c:v>
                </c:pt>
                <c:pt idx="15">
                  <c:v>25679</c:v>
                </c:pt>
                <c:pt idx="16">
                  <c:v>26081</c:v>
                </c:pt>
                <c:pt idx="17">
                  <c:v>26128</c:v>
                </c:pt>
                <c:pt idx="18">
                  <c:v>27134</c:v>
                </c:pt>
                <c:pt idx="19">
                  <c:v>29084</c:v>
                </c:pt>
                <c:pt idx="20">
                  <c:v>29777</c:v>
                </c:pt>
                <c:pt idx="21">
                  <c:v>29997</c:v>
                </c:pt>
                <c:pt idx="22">
                  <c:v>34462</c:v>
                </c:pt>
                <c:pt idx="23">
                  <c:v>34857</c:v>
                </c:pt>
                <c:pt idx="24">
                  <c:v>36177</c:v>
                </c:pt>
                <c:pt idx="25">
                  <c:v>36271</c:v>
                </c:pt>
                <c:pt idx="26">
                  <c:v>37181</c:v>
                </c:pt>
                <c:pt idx="27">
                  <c:v>39605</c:v>
                </c:pt>
                <c:pt idx="28">
                  <c:v>42061</c:v>
                </c:pt>
                <c:pt idx="29">
                  <c:v>43352</c:v>
                </c:pt>
                <c:pt idx="30">
                  <c:v>44329</c:v>
                </c:pt>
                <c:pt idx="31">
                  <c:v>49024</c:v>
                </c:pt>
                <c:pt idx="32">
                  <c:v>49779</c:v>
                </c:pt>
                <c:pt idx="33">
                  <c:v>50270</c:v>
                </c:pt>
                <c:pt idx="34">
                  <c:v>52216</c:v>
                </c:pt>
                <c:pt idx="35">
                  <c:v>53565</c:v>
                </c:pt>
                <c:pt idx="36">
                  <c:v>54501</c:v>
                </c:pt>
                <c:pt idx="37">
                  <c:v>55399</c:v>
                </c:pt>
                <c:pt idx="38">
                  <c:v>60211</c:v>
                </c:pt>
                <c:pt idx="39">
                  <c:v>61569</c:v>
                </c:pt>
                <c:pt idx="40">
                  <c:v>66160</c:v>
                </c:pt>
                <c:pt idx="41">
                  <c:v>67847</c:v>
                </c:pt>
                <c:pt idx="42">
                  <c:v>71488</c:v>
                </c:pt>
                <c:pt idx="43">
                  <c:v>74731</c:v>
                </c:pt>
                <c:pt idx="44">
                  <c:v>75485</c:v>
                </c:pt>
                <c:pt idx="45">
                  <c:v>76624</c:v>
                </c:pt>
                <c:pt idx="46">
                  <c:v>83908</c:v>
                </c:pt>
                <c:pt idx="47">
                  <c:v>84201</c:v>
                </c:pt>
                <c:pt idx="48">
                  <c:v>87101</c:v>
                </c:pt>
                <c:pt idx="49">
                  <c:v>88529</c:v>
                </c:pt>
                <c:pt idx="50">
                  <c:v>92903</c:v>
                </c:pt>
                <c:pt idx="51">
                  <c:v>95725</c:v>
                </c:pt>
                <c:pt idx="52">
                  <c:v>100967</c:v>
                </c:pt>
                <c:pt idx="53">
                  <c:v>101240</c:v>
                </c:pt>
                <c:pt idx="54">
                  <c:v>112877</c:v>
                </c:pt>
                <c:pt idx="55">
                  <c:v>120374</c:v>
                </c:pt>
                <c:pt idx="56">
                  <c:v>123702</c:v>
                </c:pt>
                <c:pt idx="57">
                  <c:v>141140</c:v>
                </c:pt>
                <c:pt idx="58">
                  <c:v>142947</c:v>
                </c:pt>
                <c:pt idx="59">
                  <c:v>144527</c:v>
                </c:pt>
                <c:pt idx="60">
                  <c:v>144902</c:v>
                </c:pt>
                <c:pt idx="61">
                  <c:v>160122</c:v>
                </c:pt>
                <c:pt idx="62">
                  <c:v>160236</c:v>
                </c:pt>
                <c:pt idx="63">
                  <c:v>164673</c:v>
                </c:pt>
                <c:pt idx="64">
                  <c:v>167996</c:v>
                </c:pt>
                <c:pt idx="65">
                  <c:v>168604</c:v>
                </c:pt>
                <c:pt idx="66">
                  <c:v>176810</c:v>
                </c:pt>
                <c:pt idx="67">
                  <c:v>177756</c:v>
                </c:pt>
                <c:pt idx="68">
                  <c:v>180520</c:v>
                </c:pt>
                <c:pt idx="69">
                  <c:v>194307</c:v>
                </c:pt>
                <c:pt idx="70">
                  <c:v>314391</c:v>
                </c:pt>
                <c:pt idx="71">
                  <c:v>351334</c:v>
                </c:pt>
                <c:pt idx="72">
                  <c:v>361908</c:v>
                </c:pt>
                <c:pt idx="73">
                  <c:v>413103</c:v>
                </c:pt>
                <c:pt idx="74">
                  <c:v>416774</c:v>
                </c:pt>
                <c:pt idx="75">
                  <c:v>431892</c:v>
                </c:pt>
                <c:pt idx="76">
                  <c:v>462464</c:v>
                </c:pt>
                <c:pt idx="77">
                  <c:v>464275</c:v>
                </c:pt>
                <c:pt idx="78">
                  <c:v>534801</c:v>
                </c:pt>
                <c:pt idx="79">
                  <c:v>589913</c:v>
                </c:pt>
                <c:pt idx="80">
                  <c:v>721481</c:v>
                </c:pt>
                <c:pt idx="81">
                  <c:v>769250</c:v>
                </c:pt>
                <c:pt idx="82">
                  <c:v>774846</c:v>
                </c:pt>
                <c:pt idx="83">
                  <c:v>787633</c:v>
                </c:pt>
                <c:pt idx="84">
                  <c:v>1464173</c:v>
                </c:pt>
                <c:pt idx="85">
                  <c:v>2366797</c:v>
                </c:pt>
                <c:pt idx="86">
                  <c:v>3083523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50-4336-BEF3-2A16B2BA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36192"/>
        <c:axId val="150934656"/>
      </c:scatterChart>
      <c:valAx>
        <c:axId val="150936192"/>
        <c:scaling>
          <c:orientation val="minMax"/>
          <c:max val="105000"/>
          <c:min val="15000"/>
        </c:scaling>
        <c:delete val="0"/>
        <c:axPos val="b"/>
        <c:numFmt formatCode="#,##0" sourceLinked="1"/>
        <c:majorTickMark val="out"/>
        <c:minorTickMark val="in"/>
        <c:tickLblPos val="nextTo"/>
        <c:spPr>
          <a:ln/>
        </c:spPr>
        <c:crossAx val="150934656"/>
        <c:crosses val="autoZero"/>
        <c:crossBetween val="midCat"/>
        <c:majorUnit val="10000"/>
      </c:valAx>
      <c:valAx>
        <c:axId val="150934656"/>
        <c:scaling>
          <c:orientation val="minMax"/>
          <c:max val="3100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936192"/>
        <c:crosses val="autoZero"/>
        <c:crossBetween val="midCat"/>
        <c:majorUnit val="25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5854399566990863E-2"/>
          <c:y val="8.9767045797472522E-3"/>
          <c:w val="0.92200516635532359"/>
          <c:h val="0.9612809399036299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Лист2!$C$2:$C$88</c:f>
              <c:numCache>
                <c:formatCode>General</c:formatCode>
                <c:ptCount val="87"/>
                <c:pt idx="0">
                  <c:v>864</c:v>
                </c:pt>
                <c:pt idx="1">
                  <c:v>1403</c:v>
                </c:pt>
                <c:pt idx="2">
                  <c:v>2561</c:v>
                </c:pt>
                <c:pt idx="3">
                  <c:v>3123</c:v>
                </c:pt>
                <c:pt idx="4">
                  <c:v>7792</c:v>
                </c:pt>
                <c:pt idx="5">
                  <c:v>7987</c:v>
                </c:pt>
                <c:pt idx="6">
                  <c:v>12470</c:v>
                </c:pt>
                <c:pt idx="7">
                  <c:v>14277</c:v>
                </c:pt>
                <c:pt idx="8">
                  <c:v>15125</c:v>
                </c:pt>
                <c:pt idx="9">
                  <c:v>16171</c:v>
                </c:pt>
                <c:pt idx="10">
                  <c:v>18343</c:v>
                </c:pt>
                <c:pt idx="11">
                  <c:v>21437</c:v>
                </c:pt>
                <c:pt idx="12">
                  <c:v>23375</c:v>
                </c:pt>
                <c:pt idx="13">
                  <c:v>24047</c:v>
                </c:pt>
                <c:pt idx="14">
                  <c:v>24652</c:v>
                </c:pt>
                <c:pt idx="15">
                  <c:v>25679</c:v>
                </c:pt>
                <c:pt idx="16">
                  <c:v>26081</c:v>
                </c:pt>
                <c:pt idx="17">
                  <c:v>26128</c:v>
                </c:pt>
                <c:pt idx="18">
                  <c:v>27134</c:v>
                </c:pt>
                <c:pt idx="19">
                  <c:v>29084</c:v>
                </c:pt>
                <c:pt idx="20">
                  <c:v>29777</c:v>
                </c:pt>
                <c:pt idx="21">
                  <c:v>29997</c:v>
                </c:pt>
                <c:pt idx="22">
                  <c:v>34462</c:v>
                </c:pt>
                <c:pt idx="23">
                  <c:v>34857</c:v>
                </c:pt>
                <c:pt idx="24">
                  <c:v>36177</c:v>
                </c:pt>
                <c:pt idx="25">
                  <c:v>36271</c:v>
                </c:pt>
                <c:pt idx="26">
                  <c:v>37181</c:v>
                </c:pt>
                <c:pt idx="27">
                  <c:v>39605</c:v>
                </c:pt>
                <c:pt idx="28">
                  <c:v>42061</c:v>
                </c:pt>
                <c:pt idx="29">
                  <c:v>43352</c:v>
                </c:pt>
                <c:pt idx="30">
                  <c:v>44329</c:v>
                </c:pt>
                <c:pt idx="31">
                  <c:v>49024</c:v>
                </c:pt>
                <c:pt idx="32">
                  <c:v>49779</c:v>
                </c:pt>
                <c:pt idx="33">
                  <c:v>50270</c:v>
                </c:pt>
                <c:pt idx="34">
                  <c:v>52216</c:v>
                </c:pt>
                <c:pt idx="35">
                  <c:v>53565</c:v>
                </c:pt>
                <c:pt idx="36">
                  <c:v>54501</c:v>
                </c:pt>
                <c:pt idx="37">
                  <c:v>55399</c:v>
                </c:pt>
                <c:pt idx="38">
                  <c:v>60211</c:v>
                </c:pt>
                <c:pt idx="39">
                  <c:v>61569</c:v>
                </c:pt>
                <c:pt idx="40">
                  <c:v>66160</c:v>
                </c:pt>
                <c:pt idx="41">
                  <c:v>67847</c:v>
                </c:pt>
                <c:pt idx="42">
                  <c:v>71488</c:v>
                </c:pt>
                <c:pt idx="43">
                  <c:v>74731</c:v>
                </c:pt>
                <c:pt idx="44">
                  <c:v>75485</c:v>
                </c:pt>
                <c:pt idx="45">
                  <c:v>76624</c:v>
                </c:pt>
                <c:pt idx="46">
                  <c:v>83908</c:v>
                </c:pt>
                <c:pt idx="47">
                  <c:v>84201</c:v>
                </c:pt>
                <c:pt idx="48">
                  <c:v>87101</c:v>
                </c:pt>
                <c:pt idx="49">
                  <c:v>88529</c:v>
                </c:pt>
                <c:pt idx="50">
                  <c:v>92903</c:v>
                </c:pt>
                <c:pt idx="51">
                  <c:v>95725</c:v>
                </c:pt>
                <c:pt idx="52">
                  <c:v>100967</c:v>
                </c:pt>
                <c:pt idx="53">
                  <c:v>101240</c:v>
                </c:pt>
                <c:pt idx="54">
                  <c:v>112877</c:v>
                </c:pt>
                <c:pt idx="55">
                  <c:v>120374</c:v>
                </c:pt>
                <c:pt idx="56">
                  <c:v>123702</c:v>
                </c:pt>
                <c:pt idx="57">
                  <c:v>141140</c:v>
                </c:pt>
                <c:pt idx="58">
                  <c:v>142947</c:v>
                </c:pt>
                <c:pt idx="59">
                  <c:v>144527</c:v>
                </c:pt>
                <c:pt idx="60">
                  <c:v>144902</c:v>
                </c:pt>
                <c:pt idx="61">
                  <c:v>160122</c:v>
                </c:pt>
                <c:pt idx="62">
                  <c:v>160236</c:v>
                </c:pt>
                <c:pt idx="63">
                  <c:v>164673</c:v>
                </c:pt>
                <c:pt idx="64">
                  <c:v>167996</c:v>
                </c:pt>
                <c:pt idx="65">
                  <c:v>168604</c:v>
                </c:pt>
                <c:pt idx="66">
                  <c:v>176810</c:v>
                </c:pt>
                <c:pt idx="67">
                  <c:v>177756</c:v>
                </c:pt>
                <c:pt idx="68">
                  <c:v>180520</c:v>
                </c:pt>
                <c:pt idx="69">
                  <c:v>194307</c:v>
                </c:pt>
                <c:pt idx="70">
                  <c:v>314391</c:v>
                </c:pt>
                <c:pt idx="71">
                  <c:v>351334</c:v>
                </c:pt>
                <c:pt idx="72">
                  <c:v>361908</c:v>
                </c:pt>
                <c:pt idx="73">
                  <c:v>413103</c:v>
                </c:pt>
                <c:pt idx="74">
                  <c:v>416774</c:v>
                </c:pt>
                <c:pt idx="75">
                  <c:v>431892</c:v>
                </c:pt>
                <c:pt idx="76">
                  <c:v>462464</c:v>
                </c:pt>
                <c:pt idx="77">
                  <c:v>464275</c:v>
                </c:pt>
                <c:pt idx="78">
                  <c:v>534801</c:v>
                </c:pt>
                <c:pt idx="79">
                  <c:v>589913</c:v>
                </c:pt>
                <c:pt idx="80">
                  <c:v>721481</c:v>
                </c:pt>
                <c:pt idx="81">
                  <c:v>769250</c:v>
                </c:pt>
                <c:pt idx="82">
                  <c:v>774846</c:v>
                </c:pt>
                <c:pt idx="83">
                  <c:v>787633</c:v>
                </c:pt>
                <c:pt idx="84">
                  <c:v>1464173</c:v>
                </c:pt>
                <c:pt idx="85">
                  <c:v>2366797</c:v>
                </c:pt>
                <c:pt idx="86">
                  <c:v>3083523</c:v>
                </c:pt>
              </c:numCache>
            </c:numRef>
          </c:xVal>
          <c:yVal>
            <c:numRef>
              <c:f>Лист2!$D$2:$D$88</c:f>
              <c:numCache>
                <c:formatCode>#,##0</c:formatCode>
                <c:ptCount val="87"/>
                <c:pt idx="0">
                  <c:v>547820</c:v>
                </c:pt>
                <c:pt idx="1">
                  <c:v>5601911</c:v>
                </c:pt>
                <c:pt idx="2">
                  <c:v>13010112</c:v>
                </c:pt>
                <c:pt idx="3">
                  <c:v>509541</c:v>
                </c:pt>
                <c:pt idx="4">
                  <c:v>496934</c:v>
                </c:pt>
                <c:pt idx="5">
                  <c:v>687357</c:v>
                </c:pt>
                <c:pt idx="6">
                  <c:v>904200</c:v>
                </c:pt>
                <c:pt idx="7">
                  <c:v>469865</c:v>
                </c:pt>
                <c:pt idx="8">
                  <c:v>1029966</c:v>
                </c:pt>
                <c:pt idx="9">
                  <c:v>1510824</c:v>
                </c:pt>
                <c:pt idx="10">
                  <c:v>1186909</c:v>
                </c:pt>
                <c:pt idx="11">
                  <c:v>927828</c:v>
                </c:pt>
                <c:pt idx="12">
                  <c:v>677097</c:v>
                </c:pt>
                <c:pt idx="13">
                  <c:v>1143224</c:v>
                </c:pt>
                <c:pt idx="14">
                  <c:v>713374</c:v>
                </c:pt>
                <c:pt idx="15">
                  <c:v>1501214</c:v>
                </c:pt>
                <c:pt idx="16">
                  <c:v>1934630</c:v>
                </c:pt>
                <c:pt idx="17">
                  <c:v>783552</c:v>
                </c:pt>
                <c:pt idx="18">
                  <c:v>1540486</c:v>
                </c:pt>
                <c:pt idx="19">
                  <c:v>1348134</c:v>
                </c:pt>
                <c:pt idx="20">
                  <c:v>1069904</c:v>
                </c:pt>
                <c:pt idx="21">
                  <c:v>1082458</c:v>
                </c:pt>
                <c:pt idx="22">
                  <c:v>982991</c:v>
                </c:pt>
                <c:pt idx="23">
                  <c:v>1169161</c:v>
                </c:pt>
                <c:pt idx="24">
                  <c:v>1209811</c:v>
                </c:pt>
                <c:pt idx="25">
                  <c:v>150453</c:v>
                </c:pt>
                <c:pt idx="26">
                  <c:v>1196745</c:v>
                </c:pt>
                <c:pt idx="27">
                  <c:v>1102810</c:v>
                </c:pt>
                <c:pt idx="28">
                  <c:v>1452914</c:v>
                </c:pt>
                <c:pt idx="29">
                  <c:v>1266348</c:v>
                </c:pt>
                <c:pt idx="30">
                  <c:v>8524665</c:v>
                </c:pt>
                <c:pt idx="31">
                  <c:v>960142</c:v>
                </c:pt>
                <c:pt idx="32">
                  <c:v>888421</c:v>
                </c:pt>
                <c:pt idx="33">
                  <c:v>3182054</c:v>
                </c:pt>
                <c:pt idx="34">
                  <c:v>2308792</c:v>
                </c:pt>
                <c:pt idx="35">
                  <c:v>3172925</c:v>
                </c:pt>
                <c:pt idx="36">
                  <c:v>583387</c:v>
                </c:pt>
                <c:pt idx="37">
                  <c:v>599084</c:v>
                </c:pt>
                <c:pt idx="38">
                  <c:v>580976</c:v>
                </c:pt>
                <c:pt idx="39">
                  <c:v>534795</c:v>
                </c:pt>
                <c:pt idx="40">
                  <c:v>2907593</c:v>
                </c:pt>
                <c:pt idx="41">
                  <c:v>4004809</c:v>
                </c:pt>
                <c:pt idx="42">
                  <c:v>776661</c:v>
                </c:pt>
                <c:pt idx="43">
                  <c:v>267133</c:v>
                </c:pt>
                <c:pt idx="44">
                  <c:v>5838273</c:v>
                </c:pt>
                <c:pt idx="45">
                  <c:v>3119115</c:v>
                </c:pt>
                <c:pt idx="46">
                  <c:v>2000997</c:v>
                </c:pt>
                <c:pt idx="47">
                  <c:v>1230171</c:v>
                </c:pt>
                <c:pt idx="48">
                  <c:v>466609</c:v>
                </c:pt>
                <c:pt idx="49">
                  <c:v>3431224</c:v>
                </c:pt>
                <c:pt idx="50">
                  <c:v>210924</c:v>
                </c:pt>
                <c:pt idx="51">
                  <c:v>2600923</c:v>
                </c:pt>
                <c:pt idx="52">
                  <c:v>4200729</c:v>
                </c:pt>
                <c:pt idx="53">
                  <c:v>2442575</c:v>
                </c:pt>
                <c:pt idx="54">
                  <c:v>2500781</c:v>
                </c:pt>
                <c:pt idx="55">
                  <c:v>1153680</c:v>
                </c:pt>
                <c:pt idx="56">
                  <c:v>1862767</c:v>
                </c:pt>
                <c:pt idx="57">
                  <c:v>1858798</c:v>
                </c:pt>
                <c:pt idx="58">
                  <c:v>4091423</c:v>
                </c:pt>
                <c:pt idx="59">
                  <c:v>1142827</c:v>
                </c:pt>
                <c:pt idx="60">
                  <c:v>667744</c:v>
                </c:pt>
                <c:pt idx="61">
                  <c:v>1601940</c:v>
                </c:pt>
                <c:pt idx="62">
                  <c:v>2532405</c:v>
                </c:pt>
                <c:pt idx="63">
                  <c:v>1845165</c:v>
                </c:pt>
                <c:pt idx="64">
                  <c:v>2163693</c:v>
                </c:pt>
                <c:pt idx="65">
                  <c:v>336651</c:v>
                </c:pt>
                <c:pt idx="66">
                  <c:v>41434</c:v>
                </c:pt>
                <c:pt idx="67">
                  <c:v>2797176</c:v>
                </c:pt>
                <c:pt idx="68">
                  <c:v>533121</c:v>
                </c:pt>
                <c:pt idx="69">
                  <c:v>4268998</c:v>
                </c:pt>
                <c:pt idx="70">
                  <c:v>1062666</c:v>
                </c:pt>
                <c:pt idx="71">
                  <c:v>978588</c:v>
                </c:pt>
                <c:pt idx="72">
                  <c:v>766912</c:v>
                </c:pt>
                <c:pt idx="73">
                  <c:v>978873</c:v>
                </c:pt>
                <c:pt idx="74">
                  <c:v>737853</c:v>
                </c:pt>
                <c:pt idx="75">
                  <c:v>1004125</c:v>
                </c:pt>
                <c:pt idx="76">
                  <c:v>136085</c:v>
                </c:pt>
                <c:pt idx="77">
                  <c:v>291705</c:v>
                </c:pt>
                <c:pt idx="78">
                  <c:v>1711480</c:v>
                </c:pt>
                <c:pt idx="79">
                  <c:v>1020307</c:v>
                </c:pt>
                <c:pt idx="80">
                  <c:v>47490</c:v>
                </c:pt>
                <c:pt idx="81">
                  <c:v>510490</c:v>
                </c:pt>
                <c:pt idx="82">
                  <c:v>2370102</c:v>
                </c:pt>
                <c:pt idx="83">
                  <c:v>1292944</c:v>
                </c:pt>
                <c:pt idx="84">
                  <c:v>3823910</c:v>
                </c:pt>
                <c:pt idx="85">
                  <c:v>2856971</c:v>
                </c:pt>
                <c:pt idx="86">
                  <c:v>995686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3-4DAB-80D8-5B7605D52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96047"/>
        <c:axId val="606796463"/>
      </c:scatterChart>
      <c:valAx>
        <c:axId val="6067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796463"/>
        <c:crosses val="autoZero"/>
        <c:crossBetween val="midCat"/>
      </c:valAx>
      <c:valAx>
        <c:axId val="6067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79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523874</xdr:colOff>
      <xdr:row>13</xdr:row>
      <xdr:rowOff>171449</xdr:rowOff>
    </xdr:from>
    <xdr:to>
      <xdr:col>23</xdr:col>
      <xdr:colOff>104775</xdr:colOff>
      <xdr:row>32</xdr:row>
      <xdr:rowOff>9524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421822</xdr:colOff>
      <xdr:row>63</xdr:row>
      <xdr:rowOff>33400</xdr:rowOff>
    </xdr:from>
    <xdr:to>
      <xdr:col>46</xdr:col>
      <xdr:colOff>268432</xdr:colOff>
      <xdr:row>102</xdr:row>
      <xdr:rowOff>39460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564661</xdr:colOff>
      <xdr:row>0</xdr:row>
      <xdr:rowOff>40822</xdr:rowOff>
    </xdr:from>
    <xdr:to>
      <xdr:col>33</xdr:col>
      <xdr:colOff>302412</xdr:colOff>
      <xdr:row>63</xdr:row>
      <xdr:rowOff>70291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E24A6A-434E-46DE-9D52-354B770C2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V35" sqref="V35"/>
    </sheetView>
  </sheetViews>
  <sheetFormatPr defaultRowHeight="15" x14ac:dyDescent="0.25"/>
  <cols>
    <col min="1" max="1" width="29.140625" customWidth="1"/>
  </cols>
  <sheetData>
    <row r="1" spans="1:3" x14ac:dyDescent="0.25">
      <c r="B1" t="s">
        <v>21</v>
      </c>
      <c r="C1" t="s">
        <v>22</v>
      </c>
    </row>
    <row r="2" spans="1:3" x14ac:dyDescent="0.25">
      <c r="A2" t="s">
        <v>0</v>
      </c>
      <c r="B2" s="3">
        <v>15.53</v>
      </c>
      <c r="C2" s="6">
        <v>34817</v>
      </c>
    </row>
    <row r="3" spans="1:3" x14ac:dyDescent="0.25">
      <c r="A3" t="s">
        <v>1</v>
      </c>
      <c r="B3" s="3">
        <v>14.27</v>
      </c>
      <c r="C3" s="6">
        <v>28934</v>
      </c>
    </row>
    <row r="4" spans="1:3" x14ac:dyDescent="0.25">
      <c r="A4" t="s">
        <v>2</v>
      </c>
      <c r="B4" s="3">
        <v>16.23</v>
      </c>
      <c r="C4" s="6">
        <v>34999</v>
      </c>
    </row>
    <row r="5" spans="1:3" x14ac:dyDescent="0.25">
      <c r="A5" t="s">
        <v>3</v>
      </c>
      <c r="B5" s="3">
        <v>15.48</v>
      </c>
      <c r="C5" s="6">
        <v>36431</v>
      </c>
    </row>
    <row r="6" spans="1:3" x14ac:dyDescent="0.25">
      <c r="A6" t="s">
        <v>4</v>
      </c>
      <c r="B6" s="3">
        <v>16.440000000000001</v>
      </c>
      <c r="C6" s="6">
        <v>50380</v>
      </c>
    </row>
    <row r="7" spans="1:3" x14ac:dyDescent="0.25">
      <c r="A7" t="s">
        <v>5</v>
      </c>
      <c r="B7" s="3">
        <v>15.45</v>
      </c>
      <c r="C7" s="6">
        <v>42483</v>
      </c>
    </row>
    <row r="8" spans="1:3" x14ac:dyDescent="0.25">
      <c r="A8" t="s">
        <v>6</v>
      </c>
      <c r="B8" s="3">
        <v>16.37</v>
      </c>
      <c r="C8" s="6">
        <v>39408</v>
      </c>
    </row>
    <row r="9" spans="1:3" x14ac:dyDescent="0.25">
      <c r="A9" t="s">
        <v>7</v>
      </c>
      <c r="B9" s="3">
        <v>16.75</v>
      </c>
      <c r="C9" s="6">
        <v>49936</v>
      </c>
    </row>
    <row r="10" spans="1:3" x14ac:dyDescent="0.25">
      <c r="A10" t="s">
        <v>8</v>
      </c>
      <c r="B10" s="3">
        <v>16.37</v>
      </c>
      <c r="C10" s="6">
        <v>40804</v>
      </c>
    </row>
    <row r="11" spans="1:3" x14ac:dyDescent="0.25">
      <c r="A11" t="s">
        <v>9</v>
      </c>
      <c r="B11" s="3">
        <v>17.5</v>
      </c>
      <c r="C11" s="6">
        <v>41600</v>
      </c>
    </row>
    <row r="12" spans="1:3" x14ac:dyDescent="0.25">
      <c r="A12" s="1" t="s">
        <v>10</v>
      </c>
      <c r="B12" s="4">
        <v>15.65</v>
      </c>
      <c r="C12" s="7">
        <v>38412</v>
      </c>
    </row>
    <row r="13" spans="1:3" x14ac:dyDescent="0.25">
      <c r="A13" s="1" t="s">
        <v>11</v>
      </c>
      <c r="B13" s="4">
        <v>17.52</v>
      </c>
      <c r="C13" s="7">
        <v>69031</v>
      </c>
    </row>
    <row r="14" spans="1:3" x14ac:dyDescent="0.25">
      <c r="A14" s="1" t="s">
        <v>12</v>
      </c>
      <c r="B14" s="4">
        <v>14.12</v>
      </c>
      <c r="C14" s="7">
        <v>42758</v>
      </c>
    </row>
    <row r="15" spans="1:3" x14ac:dyDescent="0.25">
      <c r="A15" s="1" t="s">
        <v>13</v>
      </c>
      <c r="B15" s="4">
        <v>16.47</v>
      </c>
      <c r="C15" s="7">
        <v>87054</v>
      </c>
    </row>
    <row r="16" spans="1:3" x14ac:dyDescent="0.25">
      <c r="A16" s="1" t="s">
        <v>14</v>
      </c>
      <c r="B16" s="4">
        <v>15.94</v>
      </c>
      <c r="C16" s="7">
        <v>54494</v>
      </c>
    </row>
    <row r="17" spans="1:3" x14ac:dyDescent="0.25">
      <c r="A17" s="1" t="s">
        <v>15</v>
      </c>
      <c r="B17" s="4">
        <v>16.170000000000002</v>
      </c>
      <c r="C17" s="7">
        <v>58092</v>
      </c>
    </row>
    <row r="18" spans="1:3" x14ac:dyDescent="0.25">
      <c r="A18" s="1" t="s">
        <v>16</v>
      </c>
      <c r="B18" s="4">
        <v>14.9</v>
      </c>
      <c r="C18" s="7">
        <v>54055</v>
      </c>
    </row>
    <row r="19" spans="1:3" x14ac:dyDescent="0.25">
      <c r="A19" s="1" t="s">
        <v>17</v>
      </c>
      <c r="B19" s="4">
        <v>15.77</v>
      </c>
      <c r="C19" s="7">
        <v>111157</v>
      </c>
    </row>
    <row r="20" spans="1:3" x14ac:dyDescent="0.25">
      <c r="A20" s="1" t="s">
        <v>18</v>
      </c>
      <c r="B20" s="4">
        <v>16.84</v>
      </c>
      <c r="C20" s="7">
        <v>87902</v>
      </c>
    </row>
    <row r="21" spans="1:3" x14ac:dyDescent="0.25">
      <c r="A21" s="1" t="s">
        <v>19</v>
      </c>
      <c r="B21" s="4">
        <v>15.2</v>
      </c>
      <c r="C21" s="7">
        <v>43479</v>
      </c>
    </row>
    <row r="22" spans="1:3" x14ac:dyDescent="0.25">
      <c r="A22" s="2" t="s">
        <v>20</v>
      </c>
      <c r="B22" s="5">
        <v>15.72</v>
      </c>
      <c r="C22" s="8">
        <v>156988</v>
      </c>
    </row>
    <row r="23" spans="1:3" x14ac:dyDescent="0.25">
      <c r="A23" t="s">
        <v>23</v>
      </c>
      <c r="B23" s="9">
        <v>15.39</v>
      </c>
      <c r="C23" s="10">
        <v>34812</v>
      </c>
    </row>
    <row r="24" spans="1:3" x14ac:dyDescent="0.25">
      <c r="A24" t="s">
        <v>24</v>
      </c>
      <c r="B24" s="9">
        <v>16.510000000000002</v>
      </c>
      <c r="C24" s="10">
        <v>53413</v>
      </c>
    </row>
    <row r="25" spans="1:3" x14ac:dyDescent="0.25">
      <c r="A25" t="s">
        <v>25</v>
      </c>
      <c r="B25" s="9">
        <v>18.64</v>
      </c>
      <c r="C25" s="10">
        <v>69341</v>
      </c>
    </row>
    <row r="26" spans="1:3" x14ac:dyDescent="0.25">
      <c r="A26" t="s">
        <v>26</v>
      </c>
      <c r="B26" s="9">
        <v>19.27</v>
      </c>
      <c r="C26" s="10">
        <v>72634</v>
      </c>
    </row>
    <row r="27" spans="1:3" x14ac:dyDescent="0.25">
      <c r="A27" t="s">
        <v>27</v>
      </c>
      <c r="B27" s="9">
        <v>19.29</v>
      </c>
      <c r="C27" s="10">
        <v>139651</v>
      </c>
    </row>
    <row r="28" spans="1:3" x14ac:dyDescent="0.25">
      <c r="A28" t="s">
        <v>28</v>
      </c>
      <c r="B28" s="9">
        <v>18.059999999999999</v>
      </c>
      <c r="C28" s="10">
        <v>43350</v>
      </c>
    </row>
    <row r="29" spans="1:3" x14ac:dyDescent="0.25">
      <c r="A29" t="s">
        <v>29</v>
      </c>
      <c r="B29" s="9">
        <v>16.87</v>
      </c>
      <c r="C29" s="10">
        <v>39703</v>
      </c>
    </row>
    <row r="30" spans="1:3" x14ac:dyDescent="0.25">
      <c r="A30" t="s">
        <v>30</v>
      </c>
      <c r="B30" s="11">
        <v>22.74</v>
      </c>
      <c r="C30" s="12">
        <v>39686</v>
      </c>
    </row>
    <row r="31" spans="1:3" x14ac:dyDescent="0.25">
      <c r="A31" t="s">
        <v>31</v>
      </c>
      <c r="B31" s="11">
        <v>22.49</v>
      </c>
      <c r="C31" s="12">
        <v>24414</v>
      </c>
    </row>
    <row r="32" spans="1:3" x14ac:dyDescent="0.25">
      <c r="A32" t="s">
        <v>32</v>
      </c>
      <c r="B32" s="11">
        <v>19.72</v>
      </c>
      <c r="C32" s="12">
        <v>38948</v>
      </c>
    </row>
    <row r="33" spans="1:3" x14ac:dyDescent="0.25">
      <c r="A33" t="s">
        <v>33</v>
      </c>
      <c r="B33" s="11">
        <v>20.04</v>
      </c>
      <c r="C33" s="12">
        <v>25619</v>
      </c>
    </row>
    <row r="34" spans="1:3" x14ac:dyDescent="0.25">
      <c r="A34" t="s">
        <v>34</v>
      </c>
      <c r="B34" s="11">
        <v>19.559999999999999</v>
      </c>
      <c r="C34" s="12">
        <v>35276</v>
      </c>
    </row>
    <row r="35" spans="1:3" x14ac:dyDescent="0.25">
      <c r="A35" t="s">
        <v>35</v>
      </c>
      <c r="B35" s="11">
        <v>18.54</v>
      </c>
      <c r="C35" s="12">
        <v>35920</v>
      </c>
    </row>
    <row r="36" spans="1:3" x14ac:dyDescent="0.25">
      <c r="A36" t="s">
        <v>36</v>
      </c>
      <c r="B36" s="11">
        <v>18.62</v>
      </c>
      <c r="C36" s="12">
        <v>32930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8"/>
  <sheetViews>
    <sheetView tabSelected="1" topLeftCell="A23" zoomScale="70" zoomScaleNormal="70" workbookViewId="0">
      <selection activeCell="C71" sqref="C71"/>
    </sheetView>
  </sheetViews>
  <sheetFormatPr defaultRowHeight="15" x14ac:dyDescent="0.25"/>
  <cols>
    <col min="1" max="1" width="31.28515625" customWidth="1"/>
    <col min="2" max="2" width="21.28515625" style="13" customWidth="1"/>
    <col min="3" max="3" width="22.7109375" style="13" customWidth="1"/>
    <col min="4" max="4" width="9.85546875" bestFit="1" customWidth="1"/>
    <col min="5" max="5" width="12" bestFit="1" customWidth="1"/>
  </cols>
  <sheetData>
    <row r="1" spans="1:11" x14ac:dyDescent="0.25">
      <c r="A1" t="s">
        <v>90</v>
      </c>
      <c r="B1" s="21" t="s">
        <v>92</v>
      </c>
      <c r="C1" s="21" t="s">
        <v>93</v>
      </c>
      <c r="D1" t="s">
        <v>91</v>
      </c>
    </row>
    <row r="2" spans="1:11" x14ac:dyDescent="0.25">
      <c r="A2" s="14" t="s">
        <v>74</v>
      </c>
      <c r="B2" s="15">
        <v>31603</v>
      </c>
      <c r="C2" s="23">
        <v>864</v>
      </c>
      <c r="D2" s="20">
        <v>547820</v>
      </c>
      <c r="F2" s="19">
        <f t="shared" ref="F2:F33" si="0">(B3-B2)^2</f>
        <v>579653776</v>
      </c>
      <c r="G2" s="19">
        <f t="shared" ref="G2:G33" si="1">(C3-C2)^2</f>
        <v>290521</v>
      </c>
      <c r="H2">
        <f>SQRT(F2+G2)</f>
        <v>24082.032659225424</v>
      </c>
      <c r="I2">
        <f t="shared" ref="I2:I33" si="2">IF(H2&gt;=$K$12,H2,0)</f>
        <v>0</v>
      </c>
      <c r="J2">
        <f>MAX(B:B)</f>
        <v>104323</v>
      </c>
      <c r="K2">
        <f>MAX(C:C)</f>
        <v>3083523</v>
      </c>
    </row>
    <row r="3" spans="1:11" x14ac:dyDescent="0.25">
      <c r="A3" s="14" t="s">
        <v>66</v>
      </c>
      <c r="B3" s="15">
        <v>55679</v>
      </c>
      <c r="C3" s="23">
        <v>1403</v>
      </c>
      <c r="D3" s="20">
        <v>5601911</v>
      </c>
      <c r="F3" s="19">
        <f t="shared" si="0"/>
        <v>947039076</v>
      </c>
      <c r="G3" s="19">
        <f t="shared" si="1"/>
        <v>1340964</v>
      </c>
      <c r="H3">
        <f t="shared" ref="H3:H66" si="3">SQRT(F3+G3)</f>
        <v>30795.779580975053</v>
      </c>
      <c r="I3">
        <f t="shared" si="2"/>
        <v>30795.779580975053</v>
      </c>
      <c r="J3">
        <f>MIN(B:B)</f>
        <v>18573</v>
      </c>
      <c r="K3">
        <f>MIN(C:C)</f>
        <v>864</v>
      </c>
    </row>
    <row r="4" spans="1:11" x14ac:dyDescent="0.25">
      <c r="A4" s="14" t="s">
        <v>54</v>
      </c>
      <c r="B4" s="15">
        <v>86453</v>
      </c>
      <c r="C4" s="23">
        <v>2561</v>
      </c>
      <c r="D4" s="20">
        <v>13010112</v>
      </c>
      <c r="F4" s="19">
        <f t="shared" si="0"/>
        <v>4607694400</v>
      </c>
      <c r="G4" s="19">
        <f t="shared" si="1"/>
        <v>315844</v>
      </c>
      <c r="H4">
        <f t="shared" si="3"/>
        <v>67882.326448052743</v>
      </c>
      <c r="I4">
        <f t="shared" si="2"/>
        <v>67882.326448052743</v>
      </c>
    </row>
    <row r="5" spans="1:11" x14ac:dyDescent="0.25">
      <c r="A5" s="14" t="s">
        <v>31</v>
      </c>
      <c r="B5" s="15">
        <v>18573</v>
      </c>
      <c r="C5" s="23">
        <v>3123</v>
      </c>
      <c r="D5" s="20">
        <v>509541</v>
      </c>
      <c r="F5" s="19">
        <f t="shared" si="0"/>
        <v>204747481</v>
      </c>
      <c r="G5" s="19">
        <f t="shared" si="1"/>
        <v>21799561</v>
      </c>
      <c r="H5">
        <f t="shared" si="3"/>
        <v>15051.479727920441</v>
      </c>
      <c r="I5">
        <f t="shared" si="2"/>
        <v>0</v>
      </c>
      <c r="J5">
        <f>J2-J3</f>
        <v>85750</v>
      </c>
      <c r="K5">
        <f>K2-K3</f>
        <v>3082659</v>
      </c>
    </row>
    <row r="6" spans="1:11" x14ac:dyDescent="0.25">
      <c r="A6" s="14" t="s">
        <v>67</v>
      </c>
      <c r="B6" s="15">
        <v>32882</v>
      </c>
      <c r="C6" s="23">
        <v>7792</v>
      </c>
      <c r="D6" s="20">
        <v>496934</v>
      </c>
      <c r="F6" s="19">
        <f t="shared" si="0"/>
        <v>47637604</v>
      </c>
      <c r="G6" s="19">
        <f t="shared" si="1"/>
        <v>38025</v>
      </c>
      <c r="H6">
        <f t="shared" si="3"/>
        <v>6904.7540868592851</v>
      </c>
      <c r="I6">
        <f t="shared" si="2"/>
        <v>0</v>
      </c>
      <c r="J6">
        <f>J5*K5</f>
        <v>264338009250</v>
      </c>
    </row>
    <row r="7" spans="1:11" x14ac:dyDescent="0.25">
      <c r="A7" s="14" t="s">
        <v>34</v>
      </c>
      <c r="B7" s="15">
        <v>25980</v>
      </c>
      <c r="C7" s="23">
        <v>7987</v>
      </c>
      <c r="D7" s="20">
        <v>687357</v>
      </c>
      <c r="F7" s="19">
        <f t="shared" si="0"/>
        <v>978121</v>
      </c>
      <c r="G7" s="19">
        <f t="shared" si="1"/>
        <v>20097289</v>
      </c>
      <c r="H7">
        <f t="shared" si="3"/>
        <v>4590.7962272355326</v>
      </c>
      <c r="I7">
        <f t="shared" si="2"/>
        <v>0</v>
      </c>
    </row>
    <row r="8" spans="1:11" x14ac:dyDescent="0.25">
      <c r="A8" s="14" t="s">
        <v>32</v>
      </c>
      <c r="B8" s="15">
        <v>24991</v>
      </c>
      <c r="C8" s="23">
        <v>12470</v>
      </c>
      <c r="D8" s="20">
        <v>904200</v>
      </c>
      <c r="F8" s="19">
        <f t="shared" si="0"/>
        <v>22420225</v>
      </c>
      <c r="G8" s="19">
        <f t="shared" si="1"/>
        <v>3265249</v>
      </c>
      <c r="H8">
        <f t="shared" si="3"/>
        <v>5068.0838588168608</v>
      </c>
      <c r="I8">
        <f t="shared" si="2"/>
        <v>0</v>
      </c>
      <c r="J8">
        <f>SQRT(J6/87)</f>
        <v>55121.392602271881</v>
      </c>
    </row>
    <row r="9" spans="1:11" x14ac:dyDescent="0.25">
      <c r="A9" s="14" t="s">
        <v>33</v>
      </c>
      <c r="B9" s="15">
        <v>20256</v>
      </c>
      <c r="C9" s="23">
        <v>14277</v>
      </c>
      <c r="D9" s="20">
        <v>469865</v>
      </c>
      <c r="F9" s="19">
        <f t="shared" si="0"/>
        <v>136375684</v>
      </c>
      <c r="G9" s="19">
        <f t="shared" si="1"/>
        <v>719104</v>
      </c>
      <c r="H9">
        <f t="shared" si="3"/>
        <v>11708.748353261333</v>
      </c>
      <c r="I9">
        <f t="shared" si="2"/>
        <v>0</v>
      </c>
    </row>
    <row r="10" spans="1:11" x14ac:dyDescent="0.25">
      <c r="A10" s="14" t="s">
        <v>61</v>
      </c>
      <c r="B10" s="15">
        <v>31934</v>
      </c>
      <c r="C10" s="24">
        <v>15125</v>
      </c>
      <c r="D10" s="20">
        <v>1029966</v>
      </c>
      <c r="F10" s="19">
        <f t="shared" si="0"/>
        <v>30349081</v>
      </c>
      <c r="G10" s="19">
        <f t="shared" si="1"/>
        <v>1094116</v>
      </c>
      <c r="H10">
        <f t="shared" si="3"/>
        <v>5607.4233833374847</v>
      </c>
      <c r="I10">
        <f t="shared" si="2"/>
        <v>0</v>
      </c>
    </row>
    <row r="11" spans="1:11" x14ac:dyDescent="0.25">
      <c r="A11" s="14" t="s">
        <v>35</v>
      </c>
      <c r="B11" s="15">
        <v>26425</v>
      </c>
      <c r="C11" s="23">
        <v>16171</v>
      </c>
      <c r="D11" s="20">
        <v>1510824</v>
      </c>
      <c r="F11" s="19">
        <f t="shared" si="0"/>
        <v>6245001</v>
      </c>
      <c r="G11" s="19">
        <f t="shared" si="1"/>
        <v>4717584</v>
      </c>
      <c r="H11">
        <f t="shared" si="3"/>
        <v>3310.979462334371</v>
      </c>
      <c r="I11">
        <f t="shared" si="2"/>
        <v>0</v>
      </c>
    </row>
    <row r="12" spans="1:11" x14ac:dyDescent="0.25">
      <c r="A12" s="14" t="s">
        <v>80</v>
      </c>
      <c r="B12" s="15">
        <v>23926</v>
      </c>
      <c r="C12" s="23">
        <v>18343</v>
      </c>
      <c r="D12" s="20">
        <v>1186909</v>
      </c>
      <c r="F12" s="19">
        <f t="shared" si="0"/>
        <v>39803481</v>
      </c>
      <c r="G12" s="19">
        <f t="shared" si="1"/>
        <v>9572836</v>
      </c>
      <c r="H12">
        <f t="shared" si="3"/>
        <v>7026.8283741671103</v>
      </c>
      <c r="I12">
        <f t="shared" si="2"/>
        <v>0</v>
      </c>
      <c r="K12">
        <f>0.5*J8</f>
        <v>27560.69630113594</v>
      </c>
    </row>
    <row r="13" spans="1:11" x14ac:dyDescent="0.25">
      <c r="A13" s="14" t="s">
        <v>41</v>
      </c>
      <c r="B13" s="15">
        <v>30235</v>
      </c>
      <c r="C13" s="23">
        <v>21437</v>
      </c>
      <c r="D13" s="20">
        <v>927828</v>
      </c>
      <c r="F13" s="19">
        <f t="shared" si="0"/>
        <v>51998521</v>
      </c>
      <c r="G13" s="19">
        <f t="shared" si="1"/>
        <v>3755844</v>
      </c>
      <c r="H13">
        <f t="shared" si="3"/>
        <v>7466.8845578326709</v>
      </c>
      <c r="I13">
        <f t="shared" si="2"/>
        <v>0</v>
      </c>
    </row>
    <row r="14" spans="1:11" x14ac:dyDescent="0.25">
      <c r="A14" s="14" t="s">
        <v>76</v>
      </c>
      <c r="B14" s="15">
        <v>23024</v>
      </c>
      <c r="C14" s="23">
        <v>23375</v>
      </c>
      <c r="D14" s="20">
        <v>677097</v>
      </c>
      <c r="F14" s="19">
        <f t="shared" si="0"/>
        <v>131905225</v>
      </c>
      <c r="G14" s="19">
        <f t="shared" si="1"/>
        <v>451584</v>
      </c>
      <c r="H14">
        <f t="shared" si="3"/>
        <v>11504.642932312154</v>
      </c>
      <c r="I14">
        <f t="shared" si="2"/>
        <v>0</v>
      </c>
    </row>
    <row r="15" spans="1:11" x14ac:dyDescent="0.25">
      <c r="A15" s="14" t="s">
        <v>45</v>
      </c>
      <c r="B15" s="15">
        <v>34509</v>
      </c>
      <c r="C15" s="23">
        <v>24047</v>
      </c>
      <c r="D15" s="20">
        <v>1143224</v>
      </c>
      <c r="F15" s="19">
        <f t="shared" si="0"/>
        <v>20259001</v>
      </c>
      <c r="G15" s="19">
        <f t="shared" si="1"/>
        <v>366025</v>
      </c>
      <c r="H15">
        <f t="shared" si="3"/>
        <v>4541.4783936511249</v>
      </c>
      <c r="I15">
        <f t="shared" si="2"/>
        <v>0</v>
      </c>
    </row>
    <row r="16" spans="1:11" x14ac:dyDescent="0.25">
      <c r="A16" s="14" t="s">
        <v>47</v>
      </c>
      <c r="B16" s="15">
        <v>30008</v>
      </c>
      <c r="C16" s="23">
        <v>24652</v>
      </c>
      <c r="D16" s="20">
        <v>713374</v>
      </c>
      <c r="F16" s="19">
        <f t="shared" si="0"/>
        <v>859329</v>
      </c>
      <c r="G16" s="19">
        <f t="shared" si="1"/>
        <v>1054729</v>
      </c>
      <c r="H16">
        <f t="shared" si="3"/>
        <v>1383.4948500084849</v>
      </c>
      <c r="I16">
        <f t="shared" si="2"/>
        <v>0</v>
      </c>
    </row>
    <row r="17" spans="1:9" x14ac:dyDescent="0.25">
      <c r="A17" s="14" t="s">
        <v>52</v>
      </c>
      <c r="B17" s="15">
        <v>30935</v>
      </c>
      <c r="C17" s="23">
        <v>25679</v>
      </c>
      <c r="D17" s="20">
        <v>1501214</v>
      </c>
      <c r="F17" s="19">
        <f t="shared" si="0"/>
        <v>24980004</v>
      </c>
      <c r="G17" s="19">
        <f t="shared" si="1"/>
        <v>161604</v>
      </c>
      <c r="H17">
        <f t="shared" si="3"/>
        <v>5014.1408037668825</v>
      </c>
      <c r="I17">
        <f t="shared" si="2"/>
        <v>0</v>
      </c>
    </row>
    <row r="18" spans="1:9" x14ac:dyDescent="0.25">
      <c r="A18" s="14" t="s">
        <v>69</v>
      </c>
      <c r="B18" s="15">
        <v>25937</v>
      </c>
      <c r="C18" s="23">
        <v>26081</v>
      </c>
      <c r="D18" s="20">
        <v>1934630</v>
      </c>
      <c r="F18" s="19">
        <f t="shared" si="0"/>
        <v>11088900</v>
      </c>
      <c r="G18" s="19">
        <f t="shared" si="1"/>
        <v>2209</v>
      </c>
      <c r="H18">
        <f t="shared" si="3"/>
        <v>3330.3316651648975</v>
      </c>
      <c r="I18">
        <f t="shared" si="2"/>
        <v>0</v>
      </c>
    </row>
    <row r="19" spans="1:9" x14ac:dyDescent="0.25">
      <c r="A19" s="14" t="s">
        <v>77</v>
      </c>
      <c r="B19" s="15">
        <v>22607</v>
      </c>
      <c r="C19" s="23">
        <v>26128</v>
      </c>
      <c r="D19" s="20">
        <v>783552</v>
      </c>
      <c r="F19" s="19">
        <f t="shared" si="0"/>
        <v>166513216</v>
      </c>
      <c r="G19" s="19">
        <f t="shared" si="1"/>
        <v>1012036</v>
      </c>
      <c r="H19">
        <f t="shared" si="3"/>
        <v>12943.154638649728</v>
      </c>
      <c r="I19">
        <f t="shared" si="2"/>
        <v>0</v>
      </c>
    </row>
    <row r="20" spans="1:9" x14ac:dyDescent="0.25">
      <c r="A20" s="14" t="s">
        <v>37</v>
      </c>
      <c r="B20" s="15">
        <v>35511</v>
      </c>
      <c r="C20" s="25">
        <v>27134</v>
      </c>
      <c r="D20" s="20">
        <v>1540486</v>
      </c>
      <c r="F20" s="19">
        <f t="shared" si="0"/>
        <v>54213769</v>
      </c>
      <c r="G20" s="19">
        <f t="shared" si="1"/>
        <v>3802500</v>
      </c>
      <c r="H20">
        <f t="shared" si="3"/>
        <v>7616.8411431511422</v>
      </c>
      <c r="I20">
        <f t="shared" si="2"/>
        <v>0</v>
      </c>
    </row>
    <row r="21" spans="1:9" x14ac:dyDescent="0.25">
      <c r="A21" s="14" t="s">
        <v>39</v>
      </c>
      <c r="B21" s="15">
        <v>28148</v>
      </c>
      <c r="C21" s="23">
        <v>29084</v>
      </c>
      <c r="D21" s="20">
        <v>1348134</v>
      </c>
      <c r="F21" s="19">
        <f t="shared" si="0"/>
        <v>25260676</v>
      </c>
      <c r="G21" s="19">
        <f t="shared" si="1"/>
        <v>480249</v>
      </c>
      <c r="H21">
        <f t="shared" si="3"/>
        <v>5073.5515174283983</v>
      </c>
      <c r="I21">
        <f t="shared" si="2"/>
        <v>0</v>
      </c>
    </row>
    <row r="22" spans="1:9" x14ac:dyDescent="0.25">
      <c r="A22" s="14" t="s">
        <v>42</v>
      </c>
      <c r="B22" s="15">
        <v>33174</v>
      </c>
      <c r="C22" s="24">
        <v>29777</v>
      </c>
      <c r="D22" s="20">
        <v>1069904</v>
      </c>
      <c r="F22" s="19">
        <f t="shared" si="0"/>
        <v>91809</v>
      </c>
      <c r="G22" s="19">
        <f t="shared" si="1"/>
        <v>48400</v>
      </c>
      <c r="H22">
        <f t="shared" si="3"/>
        <v>374.44492251865296</v>
      </c>
      <c r="I22">
        <f t="shared" si="2"/>
        <v>0</v>
      </c>
    </row>
    <row r="23" spans="1:9" x14ac:dyDescent="0.25">
      <c r="A23" s="14" t="s">
        <v>44</v>
      </c>
      <c r="B23" s="15">
        <v>32871</v>
      </c>
      <c r="C23" s="23">
        <v>29997</v>
      </c>
      <c r="D23" s="20">
        <v>1082458</v>
      </c>
      <c r="F23" s="19">
        <f t="shared" si="0"/>
        <v>6661561</v>
      </c>
      <c r="G23" s="19">
        <f t="shared" si="1"/>
        <v>19936225</v>
      </c>
      <c r="H23">
        <f t="shared" si="3"/>
        <v>5157.304140730892</v>
      </c>
      <c r="I23">
        <f t="shared" si="2"/>
        <v>0</v>
      </c>
    </row>
    <row r="24" spans="1:9" x14ac:dyDescent="0.25">
      <c r="A24" s="14" t="s">
        <v>50</v>
      </c>
      <c r="B24" s="15">
        <v>30290</v>
      </c>
      <c r="C24" s="23">
        <v>34462</v>
      </c>
      <c r="D24" s="20">
        <v>982991</v>
      </c>
      <c r="F24" s="19">
        <f t="shared" si="0"/>
        <v>2024929</v>
      </c>
      <c r="G24" s="19">
        <f t="shared" si="1"/>
        <v>156025</v>
      </c>
      <c r="H24">
        <f t="shared" si="3"/>
        <v>1476.8053358516822</v>
      </c>
      <c r="I24">
        <f t="shared" si="2"/>
        <v>0</v>
      </c>
    </row>
    <row r="25" spans="1:9" x14ac:dyDescent="0.25">
      <c r="A25" s="14" t="s">
        <v>38</v>
      </c>
      <c r="B25" s="15">
        <v>31713</v>
      </c>
      <c r="C25" s="23">
        <v>34857</v>
      </c>
      <c r="D25" s="20">
        <v>1169161</v>
      </c>
      <c r="F25" s="19">
        <f t="shared" si="0"/>
        <v>3936256</v>
      </c>
      <c r="G25" s="19">
        <f t="shared" si="1"/>
        <v>1742400</v>
      </c>
      <c r="H25">
        <f t="shared" si="3"/>
        <v>2382.9930759446197</v>
      </c>
      <c r="I25">
        <f t="shared" si="2"/>
        <v>0</v>
      </c>
    </row>
    <row r="26" spans="1:9" x14ac:dyDescent="0.25">
      <c r="A26" s="14" t="s">
        <v>53</v>
      </c>
      <c r="B26" s="15">
        <v>33697</v>
      </c>
      <c r="C26" s="23">
        <v>36177</v>
      </c>
      <c r="D26" s="20">
        <v>1209811</v>
      </c>
      <c r="F26" s="19">
        <f t="shared" si="0"/>
        <v>6651241</v>
      </c>
      <c r="G26" s="19">
        <f t="shared" si="1"/>
        <v>8836</v>
      </c>
      <c r="H26">
        <f t="shared" si="3"/>
        <v>2580.7124985166402</v>
      </c>
      <c r="I26">
        <f t="shared" si="2"/>
        <v>0</v>
      </c>
    </row>
    <row r="27" spans="1:9" x14ac:dyDescent="0.25">
      <c r="A27" s="14" t="s">
        <v>19</v>
      </c>
      <c r="B27" s="15">
        <v>31118</v>
      </c>
      <c r="C27" s="23">
        <v>36271</v>
      </c>
      <c r="D27" s="20">
        <v>150453</v>
      </c>
      <c r="F27" s="19">
        <f t="shared" si="0"/>
        <v>16048036</v>
      </c>
      <c r="G27" s="19">
        <f t="shared" si="1"/>
        <v>828100</v>
      </c>
      <c r="H27">
        <f t="shared" si="3"/>
        <v>4108.0574484785384</v>
      </c>
      <c r="I27">
        <f t="shared" si="2"/>
        <v>0</v>
      </c>
    </row>
    <row r="28" spans="1:9" x14ac:dyDescent="0.25">
      <c r="A28" s="14" t="s">
        <v>88</v>
      </c>
      <c r="B28" s="15">
        <v>27112</v>
      </c>
      <c r="C28" s="23">
        <v>37181</v>
      </c>
      <c r="D28" s="20">
        <v>1196745</v>
      </c>
      <c r="F28" s="19">
        <f t="shared" si="0"/>
        <v>9180900</v>
      </c>
      <c r="G28" s="19">
        <f t="shared" si="1"/>
        <v>5875776</v>
      </c>
      <c r="H28">
        <f t="shared" si="3"/>
        <v>3880.2932878843062</v>
      </c>
      <c r="I28">
        <f t="shared" si="2"/>
        <v>0</v>
      </c>
    </row>
    <row r="29" spans="1:9" x14ac:dyDescent="0.25">
      <c r="A29" s="14" t="s">
        <v>48</v>
      </c>
      <c r="B29" s="15">
        <v>30142</v>
      </c>
      <c r="C29" s="23">
        <v>39605</v>
      </c>
      <c r="D29" s="20">
        <v>1102810</v>
      </c>
      <c r="F29" s="19">
        <f t="shared" si="0"/>
        <v>3225616</v>
      </c>
      <c r="G29" s="19">
        <f t="shared" si="1"/>
        <v>6031936</v>
      </c>
      <c r="H29">
        <f t="shared" si="3"/>
        <v>3042.622552996017</v>
      </c>
      <c r="I29">
        <f t="shared" si="2"/>
        <v>0</v>
      </c>
    </row>
    <row r="30" spans="1:9" x14ac:dyDescent="0.25">
      <c r="A30" s="14" t="s">
        <v>79</v>
      </c>
      <c r="B30" s="15">
        <v>28346</v>
      </c>
      <c r="C30" s="23">
        <v>42061</v>
      </c>
      <c r="D30" s="20">
        <v>1452914</v>
      </c>
      <c r="F30" s="19">
        <f t="shared" si="0"/>
        <v>2788900</v>
      </c>
      <c r="G30" s="19">
        <f t="shared" si="1"/>
        <v>1666681</v>
      </c>
      <c r="H30">
        <f t="shared" si="3"/>
        <v>2110.8247203403698</v>
      </c>
      <c r="I30">
        <f t="shared" si="2"/>
        <v>0</v>
      </c>
    </row>
    <row r="31" spans="1:9" x14ac:dyDescent="0.25">
      <c r="A31" s="14" t="s">
        <v>85</v>
      </c>
      <c r="B31" s="15">
        <v>26676</v>
      </c>
      <c r="C31" s="23">
        <v>43352</v>
      </c>
      <c r="D31" s="20">
        <v>1266348</v>
      </c>
      <c r="F31" s="19">
        <f t="shared" si="0"/>
        <v>507916369</v>
      </c>
      <c r="G31" s="19">
        <f t="shared" si="1"/>
        <v>954529</v>
      </c>
      <c r="H31">
        <f t="shared" si="3"/>
        <v>22558.166991136492</v>
      </c>
      <c r="I31">
        <f t="shared" si="2"/>
        <v>0</v>
      </c>
    </row>
    <row r="32" spans="1:9" x14ac:dyDescent="0.25">
      <c r="A32" s="14" t="s">
        <v>46</v>
      </c>
      <c r="B32" s="15">
        <v>49213</v>
      </c>
      <c r="C32" s="23">
        <v>44329</v>
      </c>
      <c r="D32" s="20">
        <v>8524665</v>
      </c>
      <c r="F32" s="19">
        <f t="shared" si="0"/>
        <v>463885444</v>
      </c>
      <c r="G32" s="19">
        <f t="shared" si="1"/>
        <v>22043025</v>
      </c>
      <c r="H32">
        <f t="shared" si="3"/>
        <v>22043.785269322507</v>
      </c>
      <c r="I32">
        <f t="shared" si="2"/>
        <v>0</v>
      </c>
    </row>
    <row r="33" spans="1:9" x14ac:dyDescent="0.25">
      <c r="A33" s="14" t="s">
        <v>71</v>
      </c>
      <c r="B33" s="15">
        <v>27675</v>
      </c>
      <c r="C33" s="23">
        <v>49024</v>
      </c>
      <c r="D33" s="20">
        <v>960142</v>
      </c>
      <c r="F33" s="19">
        <f t="shared" si="0"/>
        <v>14508481</v>
      </c>
      <c r="G33" s="19">
        <f t="shared" si="1"/>
        <v>570025</v>
      </c>
      <c r="H33">
        <f t="shared" si="3"/>
        <v>3883.1052007381927</v>
      </c>
      <c r="I33">
        <f t="shared" si="2"/>
        <v>0</v>
      </c>
    </row>
    <row r="34" spans="1:9" x14ac:dyDescent="0.25">
      <c r="A34" s="14" t="s">
        <v>49</v>
      </c>
      <c r="B34" s="15">
        <v>31484</v>
      </c>
      <c r="C34" s="24">
        <v>49779</v>
      </c>
      <c r="D34" s="20">
        <v>888421</v>
      </c>
      <c r="F34" s="19">
        <f t="shared" ref="F34:F65" si="4">(B35-B34)^2</f>
        <v>2347024</v>
      </c>
      <c r="G34" s="19">
        <f t="shared" ref="G34:G65" si="5">(C35-C34)^2</f>
        <v>241081</v>
      </c>
      <c r="H34">
        <f t="shared" si="3"/>
        <v>1608.7588383595598</v>
      </c>
      <c r="I34">
        <f t="shared" ref="I34:I65" si="6">IF(H34&gt;=$K$12,H34,0)</f>
        <v>0</v>
      </c>
    </row>
    <row r="35" spans="1:9" x14ac:dyDescent="0.25">
      <c r="A35" s="14" t="s">
        <v>30</v>
      </c>
      <c r="B35" s="15">
        <v>29952</v>
      </c>
      <c r="C35" s="23">
        <v>50270</v>
      </c>
      <c r="D35" s="20">
        <v>3182054</v>
      </c>
      <c r="F35" s="19">
        <f t="shared" si="4"/>
        <v>25300900</v>
      </c>
      <c r="G35" s="19">
        <f t="shared" si="5"/>
        <v>3786916</v>
      </c>
      <c r="H35">
        <f t="shared" si="3"/>
        <v>5393.3121548821928</v>
      </c>
      <c r="I35">
        <f t="shared" si="6"/>
        <v>0</v>
      </c>
    </row>
    <row r="36" spans="1:9" x14ac:dyDescent="0.25">
      <c r="A36" s="14" t="s">
        <v>40</v>
      </c>
      <c r="B36" s="15">
        <v>34982</v>
      </c>
      <c r="C36" s="24">
        <v>52216</v>
      </c>
      <c r="D36" s="20">
        <v>2308792</v>
      </c>
      <c r="F36" s="19">
        <f t="shared" si="4"/>
        <v>6964321</v>
      </c>
      <c r="G36" s="19">
        <f t="shared" si="5"/>
        <v>1819801</v>
      </c>
      <c r="H36">
        <f t="shared" si="3"/>
        <v>2963.8019501984272</v>
      </c>
      <c r="I36">
        <f t="shared" si="6"/>
        <v>0</v>
      </c>
    </row>
    <row r="37" spans="1:9" x14ac:dyDescent="0.25">
      <c r="A37" s="14" t="s">
        <v>86</v>
      </c>
      <c r="B37" s="15">
        <v>32343</v>
      </c>
      <c r="C37" s="23">
        <v>53565</v>
      </c>
      <c r="D37" s="20">
        <v>3172925</v>
      </c>
      <c r="F37" s="19">
        <f t="shared" si="4"/>
        <v>7986276</v>
      </c>
      <c r="G37" s="19">
        <f t="shared" si="5"/>
        <v>876096</v>
      </c>
      <c r="H37">
        <f t="shared" si="3"/>
        <v>2976.973631055539</v>
      </c>
      <c r="I37">
        <f t="shared" si="6"/>
        <v>0</v>
      </c>
    </row>
    <row r="38" spans="1:9" x14ac:dyDescent="0.25">
      <c r="A38" s="14" t="s">
        <v>64</v>
      </c>
      <c r="B38" s="15">
        <v>29517</v>
      </c>
      <c r="C38" s="24">
        <v>54501</v>
      </c>
      <c r="D38" s="20">
        <v>583387</v>
      </c>
      <c r="F38" s="19">
        <f t="shared" si="4"/>
        <v>372100</v>
      </c>
      <c r="G38" s="19">
        <f t="shared" si="5"/>
        <v>806404</v>
      </c>
      <c r="H38">
        <f t="shared" si="3"/>
        <v>1085.5892409194189</v>
      </c>
      <c r="I38">
        <f t="shared" si="6"/>
        <v>0</v>
      </c>
    </row>
    <row r="39" spans="1:9" x14ac:dyDescent="0.25">
      <c r="A39" s="14" t="s">
        <v>65</v>
      </c>
      <c r="B39" s="15">
        <v>30127</v>
      </c>
      <c r="C39" s="24">
        <v>55399</v>
      </c>
      <c r="D39" s="20">
        <v>599084</v>
      </c>
      <c r="F39" s="19">
        <f t="shared" si="4"/>
        <v>193600</v>
      </c>
      <c r="G39" s="19">
        <f t="shared" si="5"/>
        <v>23155344</v>
      </c>
      <c r="H39">
        <f t="shared" si="3"/>
        <v>4832.0745027368939</v>
      </c>
      <c r="I39">
        <f t="shared" si="6"/>
        <v>0</v>
      </c>
    </row>
    <row r="40" spans="1:9" x14ac:dyDescent="0.25">
      <c r="A40" s="14" t="s">
        <v>43</v>
      </c>
      <c r="B40" s="15">
        <v>30567</v>
      </c>
      <c r="C40" s="23">
        <v>60211</v>
      </c>
      <c r="D40" s="20">
        <v>580976</v>
      </c>
      <c r="F40" s="19">
        <f t="shared" si="4"/>
        <v>22259524</v>
      </c>
      <c r="G40" s="19">
        <f t="shared" si="5"/>
        <v>1844164</v>
      </c>
      <c r="H40">
        <f t="shared" si="3"/>
        <v>4909.5506922731738</v>
      </c>
      <c r="I40">
        <f t="shared" si="6"/>
        <v>0</v>
      </c>
    </row>
    <row r="41" spans="1:9" x14ac:dyDescent="0.25">
      <c r="A41" s="14" t="s">
        <v>2</v>
      </c>
      <c r="B41" s="15">
        <v>25849</v>
      </c>
      <c r="C41" s="23">
        <v>61569</v>
      </c>
      <c r="D41" s="20">
        <v>534795</v>
      </c>
      <c r="F41" s="19">
        <f t="shared" si="4"/>
        <v>512656</v>
      </c>
      <c r="G41" s="19">
        <f t="shared" si="5"/>
        <v>21077281</v>
      </c>
      <c r="H41">
        <f t="shared" si="3"/>
        <v>4646.4972829003136</v>
      </c>
      <c r="I41">
        <f t="shared" si="6"/>
        <v>0</v>
      </c>
    </row>
    <row r="42" spans="1:9" x14ac:dyDescent="0.25">
      <c r="A42" s="14" t="s">
        <v>36</v>
      </c>
      <c r="B42" s="15">
        <v>25133</v>
      </c>
      <c r="C42" s="23">
        <v>66160</v>
      </c>
      <c r="D42" s="20">
        <v>2907593</v>
      </c>
      <c r="F42" s="19">
        <f t="shared" si="4"/>
        <v>181387024</v>
      </c>
      <c r="G42" s="19">
        <f t="shared" si="5"/>
        <v>2845969</v>
      </c>
      <c r="H42">
        <f t="shared" si="3"/>
        <v>13573.245485144664</v>
      </c>
      <c r="I42">
        <f t="shared" si="6"/>
        <v>0</v>
      </c>
    </row>
    <row r="43" spans="1:9" x14ac:dyDescent="0.25">
      <c r="A43" s="14" t="s">
        <v>78</v>
      </c>
      <c r="B43" s="15">
        <v>38601</v>
      </c>
      <c r="C43" s="23">
        <v>67847</v>
      </c>
      <c r="D43" s="20">
        <v>4004809</v>
      </c>
      <c r="F43" s="19">
        <f t="shared" si="4"/>
        <v>192959881</v>
      </c>
      <c r="G43" s="19">
        <f t="shared" si="5"/>
        <v>13256881</v>
      </c>
      <c r="H43">
        <f t="shared" si="3"/>
        <v>14360.249371093803</v>
      </c>
      <c r="I43">
        <f t="shared" si="6"/>
        <v>0</v>
      </c>
    </row>
    <row r="44" spans="1:9" x14ac:dyDescent="0.25">
      <c r="A44" s="14" t="s">
        <v>23</v>
      </c>
      <c r="B44" s="15">
        <v>24710</v>
      </c>
      <c r="C44" s="24">
        <v>71488</v>
      </c>
      <c r="D44" s="20">
        <v>776661</v>
      </c>
      <c r="F44" s="19">
        <f t="shared" si="4"/>
        <v>10857025</v>
      </c>
      <c r="G44" s="19">
        <f t="shared" si="5"/>
        <v>10517049</v>
      </c>
      <c r="H44">
        <f t="shared" si="3"/>
        <v>4623.2103564514564</v>
      </c>
      <c r="I44">
        <f t="shared" si="6"/>
        <v>0</v>
      </c>
    </row>
    <row r="45" spans="1:9" x14ac:dyDescent="0.25">
      <c r="A45" s="14" t="s">
        <v>68</v>
      </c>
      <c r="B45" s="15">
        <v>21415</v>
      </c>
      <c r="C45" s="23">
        <v>74731</v>
      </c>
      <c r="D45" s="20">
        <v>267133</v>
      </c>
      <c r="F45" s="19">
        <f t="shared" si="4"/>
        <v>433180969</v>
      </c>
      <c r="G45" s="19">
        <f t="shared" si="5"/>
        <v>568516</v>
      </c>
      <c r="H45">
        <f t="shared" si="3"/>
        <v>20826.653235697762</v>
      </c>
      <c r="I45">
        <f t="shared" si="6"/>
        <v>0</v>
      </c>
    </row>
    <row r="46" spans="1:9" x14ac:dyDescent="0.25">
      <c r="A46" s="14" t="s">
        <v>70</v>
      </c>
      <c r="B46" s="15">
        <v>42228</v>
      </c>
      <c r="C46" s="23">
        <v>75485</v>
      </c>
      <c r="D46" s="20">
        <v>5838273</v>
      </c>
      <c r="F46" s="19">
        <f t="shared" si="4"/>
        <v>18481401</v>
      </c>
      <c r="G46" s="19">
        <f t="shared" si="5"/>
        <v>1297321</v>
      </c>
      <c r="H46">
        <f t="shared" si="3"/>
        <v>4447.3275121133138</v>
      </c>
      <c r="I46">
        <f t="shared" si="6"/>
        <v>0</v>
      </c>
    </row>
    <row r="47" spans="1:9" x14ac:dyDescent="0.25">
      <c r="A47" s="14" t="s">
        <v>83</v>
      </c>
      <c r="B47" s="15">
        <v>37929</v>
      </c>
      <c r="C47" s="23">
        <v>76624</v>
      </c>
      <c r="D47" s="20">
        <v>3119115</v>
      </c>
      <c r="F47" s="19">
        <f t="shared" si="4"/>
        <v>7452900</v>
      </c>
      <c r="G47" s="19">
        <f t="shared" si="5"/>
        <v>53056656</v>
      </c>
      <c r="H47">
        <f t="shared" si="3"/>
        <v>7778.7888517429237</v>
      </c>
      <c r="I47">
        <f t="shared" si="6"/>
        <v>0</v>
      </c>
    </row>
    <row r="48" spans="1:9" x14ac:dyDescent="0.25">
      <c r="A48" s="14" t="s">
        <v>62</v>
      </c>
      <c r="B48" s="15">
        <v>35199</v>
      </c>
      <c r="C48" s="23">
        <v>83908</v>
      </c>
      <c r="D48" s="20">
        <v>2000997</v>
      </c>
      <c r="F48" s="19">
        <f t="shared" si="4"/>
        <v>19589476</v>
      </c>
      <c r="G48" s="19">
        <f t="shared" si="5"/>
        <v>85849</v>
      </c>
      <c r="H48">
        <f t="shared" si="3"/>
        <v>4435.6876580751268</v>
      </c>
      <c r="I48">
        <f t="shared" si="6"/>
        <v>0</v>
      </c>
    </row>
    <row r="49" spans="1:9" x14ac:dyDescent="0.25">
      <c r="A49" s="14" t="s">
        <v>51</v>
      </c>
      <c r="B49" s="15">
        <v>30773</v>
      </c>
      <c r="C49" s="22">
        <v>84201</v>
      </c>
      <c r="D49" s="20">
        <v>1230171</v>
      </c>
      <c r="F49" s="19">
        <f t="shared" si="4"/>
        <v>1255851844</v>
      </c>
      <c r="G49" s="19">
        <f t="shared" si="5"/>
        <v>8410000</v>
      </c>
      <c r="H49">
        <f t="shared" si="3"/>
        <v>35556.459947525713</v>
      </c>
      <c r="I49">
        <f t="shared" si="6"/>
        <v>35556.459947525713</v>
      </c>
    </row>
    <row r="50" spans="1:9" x14ac:dyDescent="0.25">
      <c r="A50" s="14" t="s">
        <v>18</v>
      </c>
      <c r="B50" s="15">
        <v>66211</v>
      </c>
      <c r="C50" s="22">
        <v>87101</v>
      </c>
      <c r="D50" s="20">
        <v>466609</v>
      </c>
      <c r="F50" s="19">
        <f t="shared" si="4"/>
        <v>1349607169</v>
      </c>
      <c r="G50" s="19">
        <f t="shared" si="5"/>
        <v>2039184</v>
      </c>
      <c r="H50">
        <f t="shared" si="3"/>
        <v>36764.743341957386</v>
      </c>
      <c r="I50">
        <f t="shared" si="6"/>
        <v>36764.743341957386</v>
      </c>
    </row>
    <row r="51" spans="1:9" x14ac:dyDescent="0.25">
      <c r="A51" s="14" t="s">
        <v>29</v>
      </c>
      <c r="B51" s="15">
        <v>29474</v>
      </c>
      <c r="C51" s="22">
        <v>88529</v>
      </c>
      <c r="D51" s="20">
        <v>3431224</v>
      </c>
      <c r="F51" s="19">
        <f t="shared" si="4"/>
        <v>20394256</v>
      </c>
      <c r="G51" s="19">
        <f t="shared" si="5"/>
        <v>19131876</v>
      </c>
      <c r="H51">
        <f t="shared" si="3"/>
        <v>6286.981151554377</v>
      </c>
      <c r="I51">
        <f t="shared" si="6"/>
        <v>0</v>
      </c>
    </row>
    <row r="52" spans="1:9" x14ac:dyDescent="0.25">
      <c r="A52" s="14" t="s">
        <v>0</v>
      </c>
      <c r="B52" s="15">
        <v>24958</v>
      </c>
      <c r="C52" s="22">
        <v>92903</v>
      </c>
      <c r="D52" s="20">
        <v>210924</v>
      </c>
      <c r="F52" s="19">
        <f t="shared" si="4"/>
        <v>10342656</v>
      </c>
      <c r="G52" s="19">
        <f t="shared" si="5"/>
        <v>7963684</v>
      </c>
      <c r="H52">
        <f t="shared" si="3"/>
        <v>4278.5908895336088</v>
      </c>
      <c r="I52">
        <f t="shared" si="6"/>
        <v>0</v>
      </c>
    </row>
    <row r="53" spans="1:9" x14ac:dyDescent="0.25">
      <c r="A53" s="14" t="s">
        <v>6</v>
      </c>
      <c r="B53" s="15">
        <v>28174</v>
      </c>
      <c r="C53" s="22">
        <v>95725</v>
      </c>
      <c r="D53" s="20">
        <v>2600923</v>
      </c>
      <c r="F53" s="19">
        <f t="shared" si="4"/>
        <v>43151761</v>
      </c>
      <c r="G53" s="19">
        <f t="shared" si="5"/>
        <v>27478564</v>
      </c>
      <c r="H53">
        <f t="shared" si="3"/>
        <v>8404.1849694066113</v>
      </c>
      <c r="I53">
        <f t="shared" si="6"/>
        <v>0</v>
      </c>
    </row>
    <row r="54" spans="1:9" x14ac:dyDescent="0.25">
      <c r="A54" s="14" t="s">
        <v>73</v>
      </c>
      <c r="B54" s="15">
        <v>34743</v>
      </c>
      <c r="C54" s="22">
        <v>100967</v>
      </c>
      <c r="D54" s="20">
        <v>4200729</v>
      </c>
      <c r="F54" s="19">
        <f t="shared" si="4"/>
        <v>85119076</v>
      </c>
      <c r="G54" s="19">
        <f t="shared" si="5"/>
        <v>74529</v>
      </c>
      <c r="H54">
        <f t="shared" si="3"/>
        <v>9230.0381906035473</v>
      </c>
      <c r="I54">
        <f t="shared" si="6"/>
        <v>0</v>
      </c>
    </row>
    <row r="55" spans="1:9" x14ac:dyDescent="0.25">
      <c r="A55" s="14" t="s">
        <v>87</v>
      </c>
      <c r="B55" s="15">
        <v>25517</v>
      </c>
      <c r="C55" s="22">
        <v>101240</v>
      </c>
      <c r="D55" s="20">
        <v>2442575</v>
      </c>
      <c r="F55" s="19">
        <f t="shared" si="4"/>
        <v>2920681</v>
      </c>
      <c r="G55" s="19">
        <f t="shared" si="5"/>
        <v>135419769</v>
      </c>
      <c r="H55">
        <f t="shared" si="3"/>
        <v>11761.821712642986</v>
      </c>
      <c r="I55">
        <f t="shared" si="6"/>
        <v>0</v>
      </c>
    </row>
    <row r="56" spans="1:9" x14ac:dyDescent="0.25">
      <c r="A56" s="14" t="s">
        <v>72</v>
      </c>
      <c r="B56" s="15">
        <v>27226</v>
      </c>
      <c r="C56" s="22">
        <v>112877</v>
      </c>
      <c r="D56" s="20">
        <v>2500781</v>
      </c>
      <c r="F56" s="19">
        <f t="shared" si="4"/>
        <v>1671849</v>
      </c>
      <c r="G56" s="19">
        <f t="shared" si="5"/>
        <v>56205009</v>
      </c>
      <c r="H56">
        <f t="shared" si="3"/>
        <v>7607.6841417083033</v>
      </c>
      <c r="I56">
        <f t="shared" si="6"/>
        <v>0</v>
      </c>
    </row>
    <row r="57" spans="1:9" x14ac:dyDescent="0.25">
      <c r="A57" s="14" t="s">
        <v>82</v>
      </c>
      <c r="B57" s="15">
        <v>28519</v>
      </c>
      <c r="C57" s="22">
        <v>120374</v>
      </c>
      <c r="D57" s="20">
        <v>1153680</v>
      </c>
      <c r="F57" s="19">
        <f t="shared" si="4"/>
        <v>1134225</v>
      </c>
      <c r="G57" s="19">
        <f t="shared" si="5"/>
        <v>11075584</v>
      </c>
      <c r="H57">
        <f t="shared" si="3"/>
        <v>3494.2537114525612</v>
      </c>
      <c r="I57">
        <f t="shared" si="6"/>
        <v>0</v>
      </c>
    </row>
    <row r="58" spans="1:9" x14ac:dyDescent="0.25">
      <c r="A58" s="14" t="s">
        <v>84</v>
      </c>
      <c r="B58" s="15">
        <v>27454</v>
      </c>
      <c r="C58" s="22">
        <v>123702</v>
      </c>
      <c r="D58" s="20">
        <v>1862767</v>
      </c>
      <c r="F58" s="19">
        <f t="shared" si="4"/>
        <v>8720209</v>
      </c>
      <c r="G58" s="19">
        <f t="shared" si="5"/>
        <v>304083844</v>
      </c>
      <c r="H58">
        <f t="shared" si="3"/>
        <v>17686.267356341756</v>
      </c>
      <c r="I58">
        <f t="shared" si="6"/>
        <v>0</v>
      </c>
    </row>
    <row r="59" spans="1:9" x14ac:dyDescent="0.25">
      <c r="A59" s="14" t="s">
        <v>8</v>
      </c>
      <c r="B59" s="15">
        <v>30407</v>
      </c>
      <c r="C59" s="26">
        <v>141140</v>
      </c>
      <c r="D59" s="20">
        <v>1858798</v>
      </c>
      <c r="F59" s="19">
        <f t="shared" si="4"/>
        <v>2334784</v>
      </c>
      <c r="G59" s="19">
        <f t="shared" si="5"/>
        <v>3265249</v>
      </c>
      <c r="H59">
        <f t="shared" si="3"/>
        <v>2366.4388857521758</v>
      </c>
      <c r="I59">
        <f t="shared" si="6"/>
        <v>0</v>
      </c>
    </row>
    <row r="60" spans="1:9" x14ac:dyDescent="0.25">
      <c r="A60" s="14" t="s">
        <v>75</v>
      </c>
      <c r="B60" s="15">
        <v>31935</v>
      </c>
      <c r="C60" s="26">
        <v>142947</v>
      </c>
      <c r="D60" s="20">
        <v>4091423</v>
      </c>
      <c r="F60" s="19">
        <f t="shared" si="4"/>
        <v>2304</v>
      </c>
      <c r="G60" s="19">
        <f t="shared" si="5"/>
        <v>2496400</v>
      </c>
      <c r="H60">
        <f t="shared" si="3"/>
        <v>1580.7289457715387</v>
      </c>
      <c r="I60">
        <f t="shared" si="6"/>
        <v>0</v>
      </c>
    </row>
    <row r="61" spans="1:9" x14ac:dyDescent="0.25">
      <c r="A61" s="14" t="s">
        <v>60</v>
      </c>
      <c r="B61" s="15">
        <v>31887</v>
      </c>
      <c r="C61" s="26">
        <v>144527</v>
      </c>
      <c r="D61" s="20">
        <v>1142827</v>
      </c>
      <c r="F61" s="19">
        <f t="shared" si="4"/>
        <v>557857161</v>
      </c>
      <c r="G61" s="19">
        <f t="shared" si="5"/>
        <v>140625</v>
      </c>
      <c r="H61">
        <f t="shared" si="3"/>
        <v>23621.976758942084</v>
      </c>
      <c r="I61">
        <f t="shared" si="6"/>
        <v>0</v>
      </c>
    </row>
    <row r="62" spans="1:9" x14ac:dyDescent="0.25">
      <c r="A62" s="14" t="s">
        <v>63</v>
      </c>
      <c r="B62" s="15">
        <v>55506</v>
      </c>
      <c r="C62" s="26">
        <v>144902</v>
      </c>
      <c r="D62" s="20">
        <v>667744</v>
      </c>
      <c r="F62" s="19">
        <f t="shared" si="4"/>
        <v>508502500</v>
      </c>
      <c r="G62" s="19">
        <f t="shared" si="5"/>
        <v>231648400</v>
      </c>
      <c r="H62">
        <f t="shared" si="3"/>
        <v>27205.714473249918</v>
      </c>
      <c r="I62">
        <f t="shared" si="6"/>
        <v>0</v>
      </c>
    </row>
    <row r="63" spans="1:9" x14ac:dyDescent="0.25">
      <c r="A63" s="14" t="s">
        <v>28</v>
      </c>
      <c r="B63" s="15">
        <v>32956</v>
      </c>
      <c r="C63" s="26">
        <v>160122</v>
      </c>
      <c r="D63" s="20">
        <v>1601940</v>
      </c>
      <c r="F63" s="19">
        <f t="shared" si="4"/>
        <v>33489</v>
      </c>
      <c r="G63" s="19">
        <f t="shared" si="5"/>
        <v>12996</v>
      </c>
      <c r="H63">
        <f t="shared" si="3"/>
        <v>215.60380330597138</v>
      </c>
      <c r="I63">
        <f t="shared" si="6"/>
        <v>0</v>
      </c>
    </row>
    <row r="64" spans="1:9" x14ac:dyDescent="0.25">
      <c r="A64" s="14" t="s">
        <v>81</v>
      </c>
      <c r="B64" s="15">
        <v>33139</v>
      </c>
      <c r="C64" s="27">
        <v>160236</v>
      </c>
      <c r="D64" s="20">
        <v>2532405</v>
      </c>
      <c r="F64" s="19">
        <f t="shared" si="4"/>
        <v>66487716</v>
      </c>
      <c r="G64" s="19">
        <f t="shared" si="5"/>
        <v>19686969</v>
      </c>
      <c r="H64">
        <f t="shared" si="3"/>
        <v>9283.0321016357575</v>
      </c>
      <c r="I64">
        <f t="shared" si="6"/>
        <v>0</v>
      </c>
    </row>
    <row r="65" spans="1:9" x14ac:dyDescent="0.25">
      <c r="A65" s="14" t="s">
        <v>14</v>
      </c>
      <c r="B65" s="15">
        <v>41293</v>
      </c>
      <c r="C65" s="26">
        <v>164673</v>
      </c>
      <c r="D65" s="20">
        <v>1845165</v>
      </c>
      <c r="F65" s="19">
        <f t="shared" si="4"/>
        <v>195664144</v>
      </c>
      <c r="G65" s="19">
        <f t="shared" si="5"/>
        <v>11042329</v>
      </c>
      <c r="H65">
        <f t="shared" si="3"/>
        <v>14377.290182784793</v>
      </c>
      <c r="I65">
        <f t="shared" si="6"/>
        <v>0</v>
      </c>
    </row>
    <row r="66" spans="1:9" x14ac:dyDescent="0.25">
      <c r="A66" s="14" t="s">
        <v>3</v>
      </c>
      <c r="B66" s="15">
        <v>27305</v>
      </c>
      <c r="C66" s="26">
        <v>167996</v>
      </c>
      <c r="D66" s="20">
        <v>2163693</v>
      </c>
      <c r="F66" s="19">
        <f t="shared" ref="F66:F87" si="7">(B67-B66)^2</f>
        <v>47196900</v>
      </c>
      <c r="G66" s="19">
        <f t="shared" ref="G66:G87" si="8">(C67-C66)^2</f>
        <v>369664</v>
      </c>
      <c r="H66">
        <f t="shared" si="3"/>
        <v>6896.8517455430347</v>
      </c>
      <c r="I66">
        <f t="shared" ref="I66:I97" si="9">IF(H66&gt;=$K$12,H66,0)</f>
        <v>0</v>
      </c>
    </row>
    <row r="67" spans="1:9" x14ac:dyDescent="0.25">
      <c r="A67" s="14" t="s">
        <v>1</v>
      </c>
      <c r="B67" s="15">
        <v>20435</v>
      </c>
      <c r="C67" s="27">
        <v>168604</v>
      </c>
      <c r="D67" s="20">
        <v>336651</v>
      </c>
      <c r="F67" s="19">
        <f t="shared" si="7"/>
        <v>5210674225</v>
      </c>
      <c r="G67" s="19">
        <f t="shared" si="8"/>
        <v>67338436</v>
      </c>
      <c r="H67">
        <f t="shared" ref="H67:H87" si="10">SQRT(F67+G67)</f>
        <v>72649.932284896175</v>
      </c>
      <c r="I67">
        <f t="shared" si="9"/>
        <v>72649.932284896175</v>
      </c>
    </row>
    <row r="68" spans="1:9" x14ac:dyDescent="0.25">
      <c r="A68" s="14" t="s">
        <v>58</v>
      </c>
      <c r="B68" s="15">
        <v>92620</v>
      </c>
      <c r="C68" s="26">
        <v>176810</v>
      </c>
      <c r="D68" s="20">
        <v>41434</v>
      </c>
      <c r="F68" s="19">
        <f t="shared" si="7"/>
        <v>3312002500</v>
      </c>
      <c r="G68" s="19">
        <f t="shared" si="8"/>
        <v>894916</v>
      </c>
      <c r="H68">
        <f t="shared" si="10"/>
        <v>57557.774592143498</v>
      </c>
      <c r="I68">
        <f t="shared" si="9"/>
        <v>57557.774592143498</v>
      </c>
    </row>
    <row r="69" spans="1:9" x14ac:dyDescent="0.25">
      <c r="A69" s="14" t="s">
        <v>7</v>
      </c>
      <c r="B69" s="15">
        <v>35070</v>
      </c>
      <c r="C69" s="26">
        <v>177756</v>
      </c>
      <c r="D69" s="20">
        <v>2797176</v>
      </c>
      <c r="F69" s="19">
        <f t="shared" si="7"/>
        <v>23609881</v>
      </c>
      <c r="G69" s="19">
        <f t="shared" si="8"/>
        <v>7639696</v>
      </c>
      <c r="H69">
        <f t="shared" si="10"/>
        <v>5590.1321093512634</v>
      </c>
      <c r="I69">
        <f t="shared" si="9"/>
        <v>0</v>
      </c>
    </row>
    <row r="70" spans="1:9" x14ac:dyDescent="0.25">
      <c r="A70" s="14" t="s">
        <v>55</v>
      </c>
      <c r="B70" s="15">
        <v>39929</v>
      </c>
      <c r="C70" s="26">
        <v>180520</v>
      </c>
      <c r="D70" s="20">
        <v>533121</v>
      </c>
      <c r="F70" s="19">
        <f t="shared" si="7"/>
        <v>123904</v>
      </c>
      <c r="G70" s="19">
        <f t="shared" si="8"/>
        <v>190081369</v>
      </c>
      <c r="H70">
        <f t="shared" si="10"/>
        <v>13791.492776345858</v>
      </c>
      <c r="I70">
        <f t="shared" si="9"/>
        <v>0</v>
      </c>
    </row>
    <row r="71" spans="1:9" x14ac:dyDescent="0.25">
      <c r="A71" s="14" t="s">
        <v>24</v>
      </c>
      <c r="B71" s="15">
        <v>40281</v>
      </c>
      <c r="C71" s="26">
        <v>194307</v>
      </c>
      <c r="D71" s="20">
        <v>4268998</v>
      </c>
      <c r="F71" s="19">
        <f t="shared" si="7"/>
        <v>82283041</v>
      </c>
      <c r="G71" s="19">
        <f t="shared" si="8"/>
        <v>14420167056</v>
      </c>
      <c r="H71">
        <f t="shared" si="10"/>
        <v>120426.11883225333</v>
      </c>
      <c r="I71">
        <f t="shared" si="9"/>
        <v>120426.11883225333</v>
      </c>
    </row>
    <row r="72" spans="1:9" x14ac:dyDescent="0.25">
      <c r="A72" s="14" t="s">
        <v>9</v>
      </c>
      <c r="B72" s="15">
        <v>31210</v>
      </c>
      <c r="C72" s="28">
        <v>314391</v>
      </c>
      <c r="D72" s="20">
        <v>1062666</v>
      </c>
      <c r="F72" s="19">
        <f t="shared" si="7"/>
        <v>7639696</v>
      </c>
      <c r="G72" s="19">
        <f t="shared" si="8"/>
        <v>1364785249</v>
      </c>
      <c r="H72">
        <f t="shared" si="10"/>
        <v>37046.254129128902</v>
      </c>
      <c r="I72">
        <f t="shared" si="9"/>
        <v>37046.254129128902</v>
      </c>
    </row>
    <row r="73" spans="1:9" x14ac:dyDescent="0.25">
      <c r="A73" s="14" t="s">
        <v>10</v>
      </c>
      <c r="B73" s="15">
        <v>28446</v>
      </c>
      <c r="C73" s="28">
        <v>351334</v>
      </c>
      <c r="D73" s="20">
        <v>978588</v>
      </c>
      <c r="F73" s="19">
        <f t="shared" si="7"/>
        <v>135047641</v>
      </c>
      <c r="G73" s="19">
        <f t="shared" si="8"/>
        <v>111809476</v>
      </c>
      <c r="H73">
        <f t="shared" si="10"/>
        <v>15711.687274128135</v>
      </c>
      <c r="I73">
        <f t="shared" si="9"/>
        <v>0</v>
      </c>
    </row>
    <row r="74" spans="1:9" x14ac:dyDescent="0.25">
      <c r="A74" s="14" t="s">
        <v>16</v>
      </c>
      <c r="B74" s="15">
        <v>40067</v>
      </c>
      <c r="C74" s="28">
        <v>361908</v>
      </c>
      <c r="D74" s="20">
        <v>766912</v>
      </c>
      <c r="F74" s="19">
        <f t="shared" si="7"/>
        <v>1537600</v>
      </c>
      <c r="G74" s="19">
        <f t="shared" si="8"/>
        <v>2620928025</v>
      </c>
      <c r="H74">
        <f t="shared" si="10"/>
        <v>51210.014889667822</v>
      </c>
      <c r="I74">
        <f t="shared" si="9"/>
        <v>51210.014889667822</v>
      </c>
    </row>
    <row r="75" spans="1:9" x14ac:dyDescent="0.25">
      <c r="A75" s="14" t="s">
        <v>59</v>
      </c>
      <c r="B75" s="15">
        <v>41307</v>
      </c>
      <c r="C75" s="28">
        <v>413103</v>
      </c>
      <c r="D75" s="20">
        <v>978873</v>
      </c>
      <c r="F75" s="19">
        <f t="shared" si="7"/>
        <v>1679616</v>
      </c>
      <c r="G75" s="19">
        <f t="shared" si="8"/>
        <v>13476241</v>
      </c>
      <c r="H75">
        <f t="shared" si="10"/>
        <v>3893.0524013940526</v>
      </c>
      <c r="I75">
        <f t="shared" si="9"/>
        <v>0</v>
      </c>
    </row>
    <row r="76" spans="1:9" x14ac:dyDescent="0.25">
      <c r="A76" s="14" t="s">
        <v>56</v>
      </c>
      <c r="B76" s="15">
        <v>42603</v>
      </c>
      <c r="C76" s="28">
        <v>416774</v>
      </c>
      <c r="D76" s="20">
        <v>737853</v>
      </c>
      <c r="F76" s="19">
        <f t="shared" si="7"/>
        <v>133633600</v>
      </c>
      <c r="G76" s="19">
        <f t="shared" si="8"/>
        <v>228553924</v>
      </c>
      <c r="H76">
        <f t="shared" si="10"/>
        <v>19031.224973710967</v>
      </c>
      <c r="I76">
        <f t="shared" si="9"/>
        <v>0</v>
      </c>
    </row>
    <row r="77" spans="1:9" x14ac:dyDescent="0.25">
      <c r="A77" s="14" t="s">
        <v>12</v>
      </c>
      <c r="B77" s="15">
        <v>31043</v>
      </c>
      <c r="C77" s="29">
        <v>431892</v>
      </c>
      <c r="D77" s="20">
        <v>1004125</v>
      </c>
      <c r="F77" s="19">
        <f t="shared" si="7"/>
        <v>2599776144</v>
      </c>
      <c r="G77" s="19">
        <f t="shared" si="8"/>
        <v>934647184</v>
      </c>
      <c r="H77">
        <f t="shared" si="10"/>
        <v>59451.016206621731</v>
      </c>
      <c r="I77">
        <f t="shared" si="9"/>
        <v>59451.016206621731</v>
      </c>
    </row>
    <row r="78" spans="1:9" x14ac:dyDescent="0.25">
      <c r="A78" s="14" t="s">
        <v>17</v>
      </c>
      <c r="B78" s="15">
        <v>82031</v>
      </c>
      <c r="C78" s="28">
        <v>462464</v>
      </c>
      <c r="D78" s="20">
        <v>136085</v>
      </c>
      <c r="F78" s="19">
        <f t="shared" si="7"/>
        <v>297217600</v>
      </c>
      <c r="G78" s="19">
        <f t="shared" si="8"/>
        <v>3279721</v>
      </c>
      <c r="H78">
        <f t="shared" si="10"/>
        <v>17334.858551485213</v>
      </c>
      <c r="I78">
        <f t="shared" si="9"/>
        <v>0</v>
      </c>
    </row>
    <row r="79" spans="1:9" x14ac:dyDescent="0.25">
      <c r="A79" s="14" t="s">
        <v>13</v>
      </c>
      <c r="B79" s="15">
        <v>64791</v>
      </c>
      <c r="C79" s="28">
        <v>464275</v>
      </c>
      <c r="D79" s="20">
        <v>291705</v>
      </c>
      <c r="F79" s="19">
        <f t="shared" si="7"/>
        <v>66373609</v>
      </c>
      <c r="G79" s="19">
        <f t="shared" si="8"/>
        <v>4973916676</v>
      </c>
      <c r="H79">
        <f t="shared" si="10"/>
        <v>70995.001831114845</v>
      </c>
      <c r="I79">
        <f t="shared" si="9"/>
        <v>70995.001831114845</v>
      </c>
    </row>
    <row r="80" spans="1:9" x14ac:dyDescent="0.25">
      <c r="A80" s="14" t="s">
        <v>26</v>
      </c>
      <c r="B80" s="15">
        <v>56644</v>
      </c>
      <c r="C80" s="18">
        <v>534801</v>
      </c>
      <c r="D80" s="20">
        <v>1711480</v>
      </c>
      <c r="F80" s="19">
        <f t="shared" si="7"/>
        <v>175907169</v>
      </c>
      <c r="G80" s="19">
        <f t="shared" si="8"/>
        <v>3037332544</v>
      </c>
      <c r="H80">
        <f t="shared" si="10"/>
        <v>56685.445336523553</v>
      </c>
      <c r="I80">
        <f t="shared" si="9"/>
        <v>56685.445336523553</v>
      </c>
    </row>
    <row r="81" spans="1:9" x14ac:dyDescent="0.25">
      <c r="A81" s="14" t="s">
        <v>57</v>
      </c>
      <c r="B81" s="15">
        <v>43381</v>
      </c>
      <c r="C81" s="17">
        <v>589913</v>
      </c>
      <c r="D81" s="20">
        <v>1020307</v>
      </c>
      <c r="F81" s="19">
        <f t="shared" si="7"/>
        <v>3696275209</v>
      </c>
      <c r="G81" s="19">
        <f t="shared" si="8"/>
        <v>17310138624</v>
      </c>
      <c r="H81">
        <f t="shared" si="10"/>
        <v>144935.89559870944</v>
      </c>
      <c r="I81">
        <f t="shared" si="9"/>
        <v>144935.89559870944</v>
      </c>
    </row>
    <row r="82" spans="1:9" x14ac:dyDescent="0.25">
      <c r="A82" s="14" t="s">
        <v>20</v>
      </c>
      <c r="B82" s="15">
        <v>104178</v>
      </c>
      <c r="C82" s="17">
        <v>721481</v>
      </c>
      <c r="D82" s="20">
        <v>47490</v>
      </c>
      <c r="F82" s="19">
        <f t="shared" si="7"/>
        <v>21025</v>
      </c>
      <c r="G82" s="19">
        <f t="shared" si="8"/>
        <v>2281877361</v>
      </c>
      <c r="H82">
        <f t="shared" si="10"/>
        <v>47769.220068994218</v>
      </c>
      <c r="I82">
        <f t="shared" si="9"/>
        <v>47769.220068994218</v>
      </c>
    </row>
    <row r="83" spans="1:9" x14ac:dyDescent="0.25">
      <c r="A83" s="14" t="s">
        <v>27</v>
      </c>
      <c r="B83" s="15">
        <v>104323</v>
      </c>
      <c r="C83" s="17">
        <v>769250</v>
      </c>
      <c r="D83" s="20">
        <v>510490</v>
      </c>
      <c r="F83" s="19">
        <f t="shared" si="7"/>
        <v>5483846809</v>
      </c>
      <c r="G83" s="19">
        <f t="shared" si="8"/>
        <v>31315216</v>
      </c>
      <c r="H83">
        <f t="shared" si="10"/>
        <v>74264.136869689668</v>
      </c>
      <c r="I83">
        <f t="shared" si="9"/>
        <v>74264.136869689668</v>
      </c>
    </row>
    <row r="84" spans="1:9" x14ac:dyDescent="0.25">
      <c r="A84" s="14" t="s">
        <v>5</v>
      </c>
      <c r="B84" s="15">
        <v>30270</v>
      </c>
      <c r="C84" s="17">
        <v>774846</v>
      </c>
      <c r="D84" s="20">
        <v>2370102</v>
      </c>
      <c r="F84" s="19">
        <f t="shared" si="7"/>
        <v>197121600</v>
      </c>
      <c r="G84" s="19">
        <f t="shared" si="8"/>
        <v>163507369</v>
      </c>
      <c r="H84">
        <f t="shared" si="10"/>
        <v>18990.233516205113</v>
      </c>
      <c r="I84">
        <f t="shared" si="9"/>
        <v>0</v>
      </c>
    </row>
    <row r="85" spans="1:9" x14ac:dyDescent="0.25">
      <c r="A85" s="14" t="s">
        <v>15</v>
      </c>
      <c r="B85" s="15">
        <v>44310</v>
      </c>
      <c r="C85" s="17">
        <v>787633</v>
      </c>
      <c r="D85" s="20">
        <v>1292944</v>
      </c>
      <c r="F85" s="19">
        <f t="shared" si="7"/>
        <v>77352025</v>
      </c>
      <c r="G85" s="19">
        <f t="shared" si="8"/>
        <v>457706371600</v>
      </c>
      <c r="H85">
        <f t="shared" si="10"/>
        <v>676597.16495489399</v>
      </c>
      <c r="I85">
        <f t="shared" si="9"/>
        <v>676597.16495489399</v>
      </c>
    </row>
    <row r="86" spans="1:9" x14ac:dyDescent="0.25">
      <c r="A86" s="14" t="s">
        <v>25</v>
      </c>
      <c r="B86" s="15">
        <v>53105</v>
      </c>
      <c r="C86" s="17">
        <v>1464173</v>
      </c>
      <c r="D86" s="20">
        <v>3823910</v>
      </c>
      <c r="F86" s="19">
        <f t="shared" si="7"/>
        <v>292444201</v>
      </c>
      <c r="G86" s="19">
        <f t="shared" si="8"/>
        <v>814730085376</v>
      </c>
      <c r="H86">
        <f t="shared" si="10"/>
        <v>902785.98215579311</v>
      </c>
      <c r="I86">
        <f t="shared" si="9"/>
        <v>902785.98215579311</v>
      </c>
    </row>
    <row r="87" spans="1:9" x14ac:dyDescent="0.25">
      <c r="A87" s="14" t="s">
        <v>4</v>
      </c>
      <c r="B87" s="15">
        <v>36004</v>
      </c>
      <c r="C87" s="17">
        <v>2366797</v>
      </c>
      <c r="D87" s="20">
        <v>2856971</v>
      </c>
      <c r="F87" s="19">
        <f t="shared" si="7"/>
        <v>198415396</v>
      </c>
      <c r="G87" s="19">
        <f t="shared" si="8"/>
        <v>513696159076</v>
      </c>
      <c r="H87">
        <f t="shared" si="10"/>
        <v>716864.40452291956</v>
      </c>
      <c r="I87">
        <f t="shared" si="9"/>
        <v>716864.40452291956</v>
      </c>
    </row>
    <row r="88" spans="1:9" x14ac:dyDescent="0.25">
      <c r="A88" s="14" t="s">
        <v>11</v>
      </c>
      <c r="B88" s="15">
        <v>50090</v>
      </c>
      <c r="C88" s="17">
        <v>3083523</v>
      </c>
      <c r="D88" s="20">
        <v>995686</v>
      </c>
      <c r="F88" s="19"/>
      <c r="G88" s="19"/>
      <c r="I88">
        <f t="shared" si="9"/>
        <v>0</v>
      </c>
    </row>
  </sheetData>
  <sortState xmlns:xlrd2="http://schemas.microsoft.com/office/spreadsheetml/2017/richdata2" ref="A2:D88">
    <sortCondition ref="C1:C88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8"/>
  <sheetViews>
    <sheetView workbookViewId="0">
      <selection activeCell="B1" sqref="B1:C88"/>
    </sheetView>
  </sheetViews>
  <sheetFormatPr defaultRowHeight="15" x14ac:dyDescent="0.25"/>
  <sheetData>
    <row r="1" spans="1:3" x14ac:dyDescent="0.25">
      <c r="A1" t="s">
        <v>90</v>
      </c>
      <c r="B1" s="13" t="s">
        <v>89</v>
      </c>
      <c r="C1" t="s">
        <v>91</v>
      </c>
    </row>
    <row r="2" spans="1:3" x14ac:dyDescent="0.25">
      <c r="A2" s="14" t="s">
        <v>37</v>
      </c>
      <c r="B2" s="16">
        <v>27134</v>
      </c>
      <c r="C2" s="20">
        <v>1540486</v>
      </c>
    </row>
    <row r="3" spans="1:3" x14ac:dyDescent="0.25">
      <c r="A3" s="14" t="s">
        <v>38</v>
      </c>
      <c r="B3" s="17">
        <v>34857</v>
      </c>
      <c r="C3" s="20">
        <v>1169161</v>
      </c>
    </row>
    <row r="4" spans="1:3" x14ac:dyDescent="0.25">
      <c r="A4" s="14" t="s">
        <v>39</v>
      </c>
      <c r="B4" s="17">
        <v>29084</v>
      </c>
      <c r="C4" s="20">
        <v>1348134</v>
      </c>
    </row>
    <row r="5" spans="1:3" x14ac:dyDescent="0.25">
      <c r="A5" s="14" t="s">
        <v>40</v>
      </c>
      <c r="B5" s="18">
        <v>52216</v>
      </c>
      <c r="C5" s="20">
        <v>2308792</v>
      </c>
    </row>
    <row r="6" spans="1:3" x14ac:dyDescent="0.25">
      <c r="A6" s="14" t="s">
        <v>41</v>
      </c>
      <c r="B6" s="17">
        <v>21437</v>
      </c>
      <c r="C6" s="20">
        <v>927828</v>
      </c>
    </row>
    <row r="7" spans="1:3" x14ac:dyDescent="0.25">
      <c r="A7" s="14" t="s">
        <v>42</v>
      </c>
      <c r="B7" s="18">
        <v>29777</v>
      </c>
      <c r="C7" s="20">
        <v>1069904</v>
      </c>
    </row>
    <row r="8" spans="1:3" x14ac:dyDescent="0.25">
      <c r="A8" s="14" t="s">
        <v>43</v>
      </c>
      <c r="B8" s="17">
        <v>60211</v>
      </c>
      <c r="C8" s="20">
        <v>580976</v>
      </c>
    </row>
    <row r="9" spans="1:3" x14ac:dyDescent="0.25">
      <c r="A9" s="14" t="s">
        <v>44</v>
      </c>
      <c r="B9" s="17">
        <v>29997</v>
      </c>
      <c r="C9" s="20">
        <v>1082458</v>
      </c>
    </row>
    <row r="10" spans="1:3" x14ac:dyDescent="0.25">
      <c r="A10" s="14" t="s">
        <v>45</v>
      </c>
      <c r="B10" s="17">
        <v>24047</v>
      </c>
      <c r="C10" s="20">
        <v>1143224</v>
      </c>
    </row>
    <row r="11" spans="1:3" x14ac:dyDescent="0.25">
      <c r="A11" s="14" t="s">
        <v>46</v>
      </c>
      <c r="B11" s="17">
        <v>44329</v>
      </c>
      <c r="C11" s="20">
        <v>8524665</v>
      </c>
    </row>
    <row r="12" spans="1:3" x14ac:dyDescent="0.25">
      <c r="A12" s="14" t="s">
        <v>47</v>
      </c>
      <c r="B12" s="17">
        <v>24652</v>
      </c>
      <c r="C12" s="20">
        <v>713374</v>
      </c>
    </row>
    <row r="13" spans="1:3" x14ac:dyDescent="0.25">
      <c r="A13" s="14" t="s">
        <v>48</v>
      </c>
      <c r="B13" s="17">
        <v>39605</v>
      </c>
      <c r="C13" s="20">
        <v>1102810</v>
      </c>
    </row>
    <row r="14" spans="1:3" x14ac:dyDescent="0.25">
      <c r="A14" s="14" t="s">
        <v>49</v>
      </c>
      <c r="B14" s="18">
        <v>49779</v>
      </c>
      <c r="C14" s="20">
        <v>888421</v>
      </c>
    </row>
    <row r="15" spans="1:3" x14ac:dyDescent="0.25">
      <c r="A15" s="14" t="s">
        <v>50</v>
      </c>
      <c r="B15" s="17">
        <v>34462</v>
      </c>
      <c r="C15" s="20">
        <v>982991</v>
      </c>
    </row>
    <row r="16" spans="1:3" x14ac:dyDescent="0.25">
      <c r="A16" s="14" t="s">
        <v>51</v>
      </c>
      <c r="B16" s="17">
        <v>84201</v>
      </c>
      <c r="C16" s="20">
        <v>1230171</v>
      </c>
    </row>
    <row r="17" spans="1:3" x14ac:dyDescent="0.25">
      <c r="A17" s="14" t="s">
        <v>52</v>
      </c>
      <c r="B17" s="17">
        <v>25679</v>
      </c>
      <c r="C17" s="20">
        <v>1501214</v>
      </c>
    </row>
    <row r="18" spans="1:3" x14ac:dyDescent="0.25">
      <c r="A18" s="14" t="s">
        <v>53</v>
      </c>
      <c r="B18" s="17">
        <v>36177</v>
      </c>
      <c r="C18" s="20">
        <v>1209811</v>
      </c>
    </row>
    <row r="19" spans="1:3" x14ac:dyDescent="0.25">
      <c r="A19" s="14" t="s">
        <v>54</v>
      </c>
      <c r="B19" s="17">
        <v>2561</v>
      </c>
      <c r="C19" s="20">
        <v>13010112</v>
      </c>
    </row>
    <row r="20" spans="1:3" x14ac:dyDescent="0.25">
      <c r="A20" s="14" t="s">
        <v>55</v>
      </c>
      <c r="B20" s="17">
        <v>180520</v>
      </c>
      <c r="C20" s="20">
        <v>533121</v>
      </c>
    </row>
    <row r="21" spans="1:3" x14ac:dyDescent="0.25">
      <c r="A21" s="14" t="s">
        <v>56</v>
      </c>
      <c r="B21" s="17">
        <v>416774</v>
      </c>
      <c r="C21" s="20">
        <v>737853</v>
      </c>
    </row>
    <row r="22" spans="1:3" x14ac:dyDescent="0.25">
      <c r="A22" s="14" t="s">
        <v>57</v>
      </c>
      <c r="B22" s="17">
        <v>589913</v>
      </c>
      <c r="C22" s="20">
        <v>1020307</v>
      </c>
    </row>
    <row r="23" spans="1:3" x14ac:dyDescent="0.25">
      <c r="A23" s="14" t="s">
        <v>58</v>
      </c>
      <c r="B23" s="17">
        <v>176810</v>
      </c>
      <c r="C23" s="20">
        <v>41434</v>
      </c>
    </row>
    <row r="24" spans="1:3" x14ac:dyDescent="0.25">
      <c r="A24" s="14" t="s">
        <v>59</v>
      </c>
      <c r="B24" s="17">
        <v>413103</v>
      </c>
      <c r="C24" s="20">
        <v>978873</v>
      </c>
    </row>
    <row r="25" spans="1:3" x14ac:dyDescent="0.25">
      <c r="A25" s="14" t="s">
        <v>60</v>
      </c>
      <c r="B25" s="17">
        <v>144527</v>
      </c>
      <c r="C25" s="20">
        <v>1142827</v>
      </c>
    </row>
    <row r="26" spans="1:3" x14ac:dyDescent="0.25">
      <c r="A26" s="14" t="s">
        <v>61</v>
      </c>
      <c r="B26" s="18">
        <v>15125</v>
      </c>
      <c r="C26" s="20">
        <v>1029966</v>
      </c>
    </row>
    <row r="27" spans="1:3" x14ac:dyDescent="0.25">
      <c r="A27" s="14" t="s">
        <v>62</v>
      </c>
      <c r="B27" s="17">
        <v>83908</v>
      </c>
      <c r="C27" s="20">
        <v>2000997</v>
      </c>
    </row>
    <row r="28" spans="1:3" x14ac:dyDescent="0.25">
      <c r="A28" s="14" t="s">
        <v>63</v>
      </c>
      <c r="B28" s="17">
        <v>144902</v>
      </c>
      <c r="C28" s="20">
        <v>667744</v>
      </c>
    </row>
    <row r="29" spans="1:3" x14ac:dyDescent="0.25">
      <c r="A29" s="14" t="s">
        <v>64</v>
      </c>
      <c r="B29" s="18">
        <v>54501</v>
      </c>
      <c r="C29" s="20">
        <v>583387</v>
      </c>
    </row>
    <row r="30" spans="1:3" x14ac:dyDescent="0.25">
      <c r="A30" s="14" t="s">
        <v>65</v>
      </c>
      <c r="B30" s="18">
        <v>55399</v>
      </c>
      <c r="C30" s="20">
        <v>599084</v>
      </c>
    </row>
    <row r="31" spans="1:3" x14ac:dyDescent="0.25">
      <c r="A31" s="14" t="s">
        <v>66</v>
      </c>
      <c r="B31" s="17">
        <v>1403</v>
      </c>
      <c r="C31" s="20">
        <v>5601911</v>
      </c>
    </row>
    <row r="32" spans="1:3" x14ac:dyDescent="0.25">
      <c r="A32" s="14" t="s">
        <v>67</v>
      </c>
      <c r="B32" s="17">
        <v>7792</v>
      </c>
      <c r="C32" s="20">
        <v>496934</v>
      </c>
    </row>
    <row r="33" spans="1:3" x14ac:dyDescent="0.25">
      <c r="A33" s="14" t="s">
        <v>68</v>
      </c>
      <c r="B33" s="17">
        <v>74731</v>
      </c>
      <c r="C33" s="20">
        <v>267133</v>
      </c>
    </row>
    <row r="34" spans="1:3" x14ac:dyDescent="0.25">
      <c r="A34" s="14" t="s">
        <v>69</v>
      </c>
      <c r="B34" s="17">
        <v>26081</v>
      </c>
      <c r="C34" s="20">
        <v>1934630</v>
      </c>
    </row>
    <row r="35" spans="1:3" x14ac:dyDescent="0.25">
      <c r="A35" s="14" t="s">
        <v>70</v>
      </c>
      <c r="B35" s="17">
        <v>75485</v>
      </c>
      <c r="C35" s="20">
        <v>5838273</v>
      </c>
    </row>
    <row r="36" spans="1:3" x14ac:dyDescent="0.25">
      <c r="A36" s="14" t="s">
        <v>71</v>
      </c>
      <c r="B36" s="17">
        <v>49024</v>
      </c>
      <c r="C36" s="20">
        <v>960142</v>
      </c>
    </row>
    <row r="37" spans="1:3" x14ac:dyDescent="0.25">
      <c r="A37" s="14" t="s">
        <v>72</v>
      </c>
      <c r="B37" s="17">
        <v>112877</v>
      </c>
      <c r="C37" s="20">
        <v>2500781</v>
      </c>
    </row>
    <row r="38" spans="1:3" x14ac:dyDescent="0.25">
      <c r="A38" s="14" t="s">
        <v>73</v>
      </c>
      <c r="B38" s="17">
        <v>100967</v>
      </c>
      <c r="C38" s="20">
        <v>4200729</v>
      </c>
    </row>
    <row r="39" spans="1:3" x14ac:dyDescent="0.25">
      <c r="A39" s="14" t="s">
        <v>74</v>
      </c>
      <c r="B39" s="17">
        <v>864</v>
      </c>
      <c r="C39" s="20">
        <v>547820</v>
      </c>
    </row>
    <row r="40" spans="1:3" x14ac:dyDescent="0.25">
      <c r="A40" s="14" t="s">
        <v>30</v>
      </c>
      <c r="B40" s="17">
        <v>50270</v>
      </c>
      <c r="C40" s="20">
        <v>3182054</v>
      </c>
    </row>
    <row r="41" spans="1:3" x14ac:dyDescent="0.25">
      <c r="A41" s="14" t="s">
        <v>31</v>
      </c>
      <c r="B41" s="17">
        <v>3123</v>
      </c>
      <c r="C41" s="20">
        <v>509541</v>
      </c>
    </row>
    <row r="42" spans="1:3" x14ac:dyDescent="0.25">
      <c r="A42" s="14" t="s">
        <v>32</v>
      </c>
      <c r="B42" s="17">
        <v>12470</v>
      </c>
      <c r="C42" s="20">
        <v>904200</v>
      </c>
    </row>
    <row r="43" spans="1:3" x14ac:dyDescent="0.25">
      <c r="A43" s="14" t="s">
        <v>33</v>
      </c>
      <c r="B43" s="17">
        <v>14277</v>
      </c>
      <c r="C43" s="20">
        <v>469865</v>
      </c>
    </row>
    <row r="44" spans="1:3" x14ac:dyDescent="0.25">
      <c r="A44" s="14" t="s">
        <v>34</v>
      </c>
      <c r="B44" s="17">
        <v>7987</v>
      </c>
      <c r="C44" s="20">
        <v>687357</v>
      </c>
    </row>
    <row r="45" spans="1:3" x14ac:dyDescent="0.25">
      <c r="A45" s="14" t="s">
        <v>35</v>
      </c>
      <c r="B45" s="17">
        <v>16171</v>
      </c>
      <c r="C45" s="20">
        <v>1510824</v>
      </c>
    </row>
    <row r="46" spans="1:3" x14ac:dyDescent="0.25">
      <c r="A46" s="14" t="s">
        <v>36</v>
      </c>
      <c r="B46" s="17">
        <v>66160</v>
      </c>
      <c r="C46" s="20">
        <v>2907593</v>
      </c>
    </row>
    <row r="47" spans="1:3" x14ac:dyDescent="0.25">
      <c r="A47" s="14" t="s">
        <v>75</v>
      </c>
      <c r="B47" s="17">
        <v>142947</v>
      </c>
      <c r="C47" s="20">
        <v>4091423</v>
      </c>
    </row>
    <row r="48" spans="1:3" x14ac:dyDescent="0.25">
      <c r="A48" s="14" t="s">
        <v>76</v>
      </c>
      <c r="B48" s="17">
        <v>23375</v>
      </c>
      <c r="C48" s="20">
        <v>677097</v>
      </c>
    </row>
    <row r="49" spans="1:3" x14ac:dyDescent="0.25">
      <c r="A49" s="14" t="s">
        <v>77</v>
      </c>
      <c r="B49" s="17">
        <v>26128</v>
      </c>
      <c r="C49" s="20">
        <v>783552</v>
      </c>
    </row>
    <row r="50" spans="1:3" x14ac:dyDescent="0.25">
      <c r="A50" s="14" t="s">
        <v>78</v>
      </c>
      <c r="B50" s="17">
        <v>67847</v>
      </c>
      <c r="C50" s="20">
        <v>4004809</v>
      </c>
    </row>
    <row r="51" spans="1:3" x14ac:dyDescent="0.25">
      <c r="A51" s="14" t="s">
        <v>79</v>
      </c>
      <c r="B51" s="17">
        <v>42061</v>
      </c>
      <c r="C51" s="20">
        <v>1452914</v>
      </c>
    </row>
    <row r="52" spans="1:3" x14ac:dyDescent="0.25">
      <c r="A52" s="14" t="s">
        <v>80</v>
      </c>
      <c r="B52" s="17">
        <v>18343</v>
      </c>
      <c r="C52" s="20">
        <v>1186909</v>
      </c>
    </row>
    <row r="53" spans="1:3" x14ac:dyDescent="0.25">
      <c r="A53" s="14" t="s">
        <v>81</v>
      </c>
      <c r="B53" s="18">
        <v>160236</v>
      </c>
      <c r="C53" s="20">
        <v>2532405</v>
      </c>
    </row>
    <row r="54" spans="1:3" x14ac:dyDescent="0.25">
      <c r="A54" s="14" t="s">
        <v>82</v>
      </c>
      <c r="B54" s="17">
        <v>120374</v>
      </c>
      <c r="C54" s="20">
        <v>1153680</v>
      </c>
    </row>
    <row r="55" spans="1:3" x14ac:dyDescent="0.25">
      <c r="A55" s="14" t="s">
        <v>83</v>
      </c>
      <c r="B55" s="17">
        <v>76624</v>
      </c>
      <c r="C55" s="20">
        <v>3119115</v>
      </c>
    </row>
    <row r="56" spans="1:3" x14ac:dyDescent="0.25">
      <c r="A56" s="14" t="s">
        <v>84</v>
      </c>
      <c r="B56" s="17">
        <v>123702</v>
      </c>
      <c r="C56" s="20">
        <v>1862767</v>
      </c>
    </row>
    <row r="57" spans="1:3" x14ac:dyDescent="0.25">
      <c r="A57" s="14" t="s">
        <v>85</v>
      </c>
      <c r="B57" s="17">
        <v>43352</v>
      </c>
      <c r="C57" s="20">
        <v>1266348</v>
      </c>
    </row>
    <row r="58" spans="1:3" x14ac:dyDescent="0.25">
      <c r="A58" s="14" t="s">
        <v>86</v>
      </c>
      <c r="B58" s="17">
        <v>53565</v>
      </c>
      <c r="C58" s="20">
        <v>3172925</v>
      </c>
    </row>
    <row r="59" spans="1:3" x14ac:dyDescent="0.25">
      <c r="A59" s="14" t="s">
        <v>87</v>
      </c>
      <c r="B59" s="17">
        <v>101240</v>
      </c>
      <c r="C59" s="20">
        <v>2442575</v>
      </c>
    </row>
    <row r="60" spans="1:3" x14ac:dyDescent="0.25">
      <c r="A60" s="14" t="s">
        <v>88</v>
      </c>
      <c r="B60" s="17">
        <v>37181</v>
      </c>
      <c r="C60" s="20">
        <v>1196745</v>
      </c>
    </row>
    <row r="61" spans="1:3" x14ac:dyDescent="0.25">
      <c r="A61" s="14" t="s">
        <v>23</v>
      </c>
      <c r="B61" s="18">
        <v>71488</v>
      </c>
      <c r="C61" s="20">
        <v>776661</v>
      </c>
    </row>
    <row r="62" spans="1:3" x14ac:dyDescent="0.25">
      <c r="A62" s="14" t="s">
        <v>24</v>
      </c>
      <c r="B62" s="17">
        <v>194307</v>
      </c>
      <c r="C62" s="20">
        <v>4268998</v>
      </c>
    </row>
    <row r="63" spans="1:3" x14ac:dyDescent="0.25">
      <c r="A63" s="14" t="s">
        <v>25</v>
      </c>
      <c r="B63" s="17">
        <v>1464173</v>
      </c>
      <c r="C63" s="20">
        <v>3823910</v>
      </c>
    </row>
    <row r="64" spans="1:3" x14ac:dyDescent="0.25">
      <c r="A64" s="14" t="s">
        <v>26</v>
      </c>
      <c r="B64" s="18">
        <v>534801</v>
      </c>
      <c r="C64" s="20">
        <v>1711480</v>
      </c>
    </row>
    <row r="65" spans="1:3" x14ac:dyDescent="0.25">
      <c r="A65" s="14" t="s">
        <v>27</v>
      </c>
      <c r="B65" s="17">
        <v>769250</v>
      </c>
      <c r="C65" s="20">
        <v>510490</v>
      </c>
    </row>
    <row r="66" spans="1:3" x14ac:dyDescent="0.25">
      <c r="A66" s="14" t="s">
        <v>28</v>
      </c>
      <c r="B66" s="17">
        <v>160122</v>
      </c>
      <c r="C66" s="20">
        <v>1601940</v>
      </c>
    </row>
    <row r="67" spans="1:3" x14ac:dyDescent="0.25">
      <c r="A67" s="14" t="s">
        <v>29</v>
      </c>
      <c r="B67" s="17">
        <v>88529</v>
      </c>
      <c r="C67" s="20">
        <v>3431224</v>
      </c>
    </row>
    <row r="68" spans="1:3" x14ac:dyDescent="0.25">
      <c r="A68" s="14" t="s">
        <v>0</v>
      </c>
      <c r="B68" s="17">
        <v>92903</v>
      </c>
      <c r="C68" s="20">
        <v>210924</v>
      </c>
    </row>
    <row r="69" spans="1:3" x14ac:dyDescent="0.25">
      <c r="A69" s="14" t="s">
        <v>1</v>
      </c>
      <c r="B69" s="18">
        <v>168604</v>
      </c>
      <c r="C69" s="20">
        <v>336651</v>
      </c>
    </row>
    <row r="70" spans="1:3" x14ac:dyDescent="0.25">
      <c r="A70" s="14" t="s">
        <v>2</v>
      </c>
      <c r="B70" s="17">
        <v>61569</v>
      </c>
      <c r="C70" s="20">
        <v>534795</v>
      </c>
    </row>
    <row r="71" spans="1:3" x14ac:dyDescent="0.25">
      <c r="A71" s="14" t="s">
        <v>3</v>
      </c>
      <c r="B71" s="17">
        <v>167996</v>
      </c>
      <c r="C71" s="20">
        <v>2163693</v>
      </c>
    </row>
    <row r="72" spans="1:3" x14ac:dyDescent="0.25">
      <c r="A72" s="14" t="s">
        <v>4</v>
      </c>
      <c r="B72" s="17">
        <v>2366797</v>
      </c>
      <c r="C72" s="20">
        <v>2856971</v>
      </c>
    </row>
    <row r="73" spans="1:3" x14ac:dyDescent="0.25">
      <c r="A73" s="14" t="s">
        <v>5</v>
      </c>
      <c r="B73" s="17">
        <v>774846</v>
      </c>
      <c r="C73" s="20">
        <v>2370102</v>
      </c>
    </row>
    <row r="74" spans="1:3" x14ac:dyDescent="0.25">
      <c r="A74" s="14" t="s">
        <v>6</v>
      </c>
      <c r="B74" s="17">
        <v>95725</v>
      </c>
      <c r="C74" s="20">
        <v>2600923</v>
      </c>
    </row>
    <row r="75" spans="1:3" x14ac:dyDescent="0.25">
      <c r="A75" s="14" t="s">
        <v>7</v>
      </c>
      <c r="B75" s="17">
        <v>177756</v>
      </c>
      <c r="C75" s="20">
        <v>2797176</v>
      </c>
    </row>
    <row r="76" spans="1:3" x14ac:dyDescent="0.25">
      <c r="A76" s="14" t="s">
        <v>8</v>
      </c>
      <c r="B76" s="17">
        <v>141140</v>
      </c>
      <c r="C76" s="20">
        <v>1858798</v>
      </c>
    </row>
    <row r="77" spans="1:3" x14ac:dyDescent="0.25">
      <c r="A77" s="14" t="s">
        <v>9</v>
      </c>
      <c r="B77" s="17">
        <v>314391</v>
      </c>
      <c r="C77" s="20">
        <v>1062666</v>
      </c>
    </row>
    <row r="78" spans="1:3" x14ac:dyDescent="0.25">
      <c r="A78" s="14" t="s">
        <v>10</v>
      </c>
      <c r="B78" s="17">
        <v>351334</v>
      </c>
      <c r="C78" s="20">
        <v>978588</v>
      </c>
    </row>
    <row r="79" spans="1:3" x14ac:dyDescent="0.25">
      <c r="A79" s="14" t="s">
        <v>11</v>
      </c>
      <c r="B79" s="17">
        <v>3083523</v>
      </c>
      <c r="C79" s="20">
        <v>995686</v>
      </c>
    </row>
    <row r="80" spans="1:3" x14ac:dyDescent="0.25">
      <c r="A80" s="14" t="s">
        <v>12</v>
      </c>
      <c r="B80" s="18">
        <v>431892</v>
      </c>
      <c r="C80" s="20">
        <v>1004125</v>
      </c>
    </row>
    <row r="81" spans="1:3" x14ac:dyDescent="0.25">
      <c r="A81" s="14" t="s">
        <v>13</v>
      </c>
      <c r="B81" s="17">
        <v>464275</v>
      </c>
      <c r="C81" s="20">
        <v>291705</v>
      </c>
    </row>
    <row r="82" spans="1:3" x14ac:dyDescent="0.25">
      <c r="A82" s="14" t="s">
        <v>14</v>
      </c>
      <c r="B82" s="17">
        <v>164673</v>
      </c>
      <c r="C82" s="20">
        <v>1845165</v>
      </c>
    </row>
    <row r="83" spans="1:3" x14ac:dyDescent="0.25">
      <c r="A83" s="14" t="s">
        <v>15</v>
      </c>
      <c r="B83" s="17">
        <v>787633</v>
      </c>
      <c r="C83" s="20">
        <v>1292944</v>
      </c>
    </row>
    <row r="84" spans="1:3" x14ac:dyDescent="0.25">
      <c r="A84" s="14" t="s">
        <v>16</v>
      </c>
      <c r="B84" s="17">
        <v>361908</v>
      </c>
      <c r="C84" s="20">
        <v>766912</v>
      </c>
    </row>
    <row r="85" spans="1:3" x14ac:dyDescent="0.25">
      <c r="A85" s="14" t="s">
        <v>17</v>
      </c>
      <c r="B85" s="17">
        <v>462464</v>
      </c>
      <c r="C85" s="20">
        <v>136085</v>
      </c>
    </row>
    <row r="86" spans="1:3" x14ac:dyDescent="0.25">
      <c r="A86" s="14" t="s">
        <v>18</v>
      </c>
      <c r="B86" s="17">
        <v>87101</v>
      </c>
      <c r="C86" s="20">
        <v>466609</v>
      </c>
    </row>
    <row r="87" spans="1:3" x14ac:dyDescent="0.25">
      <c r="A87" s="14" t="s">
        <v>19</v>
      </c>
      <c r="B87" s="17">
        <v>36271</v>
      </c>
      <c r="C87" s="20">
        <v>150453</v>
      </c>
    </row>
    <row r="88" spans="1:3" x14ac:dyDescent="0.25">
      <c r="A88" s="14" t="s">
        <v>20</v>
      </c>
      <c r="B88" s="17">
        <v>721481</v>
      </c>
      <c r="C88" s="20">
        <v>47490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2025-10-12T10:33:50Z</dcterms:modified>
</cp:coreProperties>
</file>